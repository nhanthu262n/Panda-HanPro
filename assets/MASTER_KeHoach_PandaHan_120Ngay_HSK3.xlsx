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HAN\Downloads\"/>
    </mc:Choice>
  </mc:AlternateContent>
  <xr:revisionPtr revIDLastSave="0" documentId="8_{C8DEAD7B-2BFE-4DB2-96D5-BF4A9F571A9E}" xr6:coauthVersionLast="47" xr6:coauthVersionMax="47" xr10:uidLastSave="{00000000-0000-0000-0000-000000000000}"/>
  <bookViews>
    <workbookView xWindow="-108" yWindow="-108" windowWidth="23256" windowHeight="12456" xr2:uid="{00000000-000D-0000-FFFF-FFFF00000000}"/>
  </bookViews>
  <sheets>
    <sheet name="Ke hoach 120 ngay" sheetId="1" r:id="rId1"/>
    <sheet name="Tổng quan &amp; Khoảng trống" sheetId="2" r:id="rId2"/>
    <sheet name="Từ vựng Bậc 1 (223 từ)" sheetId="3" r:id="rId3"/>
    <sheet name="Từ vựng Bậc 2 (240 từ)" sheetId="4" r:id="rId4"/>
    <sheet name="18 Chủ đề Bậc 3 (thật)" sheetId="5" r:id="rId5"/>
    <sheet name="Lỗi Pinyin thường gặp" sheetId="6" r:id="rId6"/>
    <sheet name="Link tải đầy đủ 2245 từ" sheetId="7" r:id="rId7"/>
    <sheet name="Pinyin Tone Quest HD" sheetId="8" r:id="rId8"/>
  </sheets>
  <definedNames>
    <definedName name="_xlnm._FilterDatabase" localSheetId="0" hidden="1">'Ke hoach 120 ngay'!$A$1:$W$121</definedName>
    <definedName name="_xlnm._FilterDatabase" localSheetId="7" hidden="1">'Pinyin Tone Quest HD'!$A$4:$E$22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2" i="2" l="1"/>
  <c r="B21" i="2"/>
  <c r="B20" i="2"/>
  <c r="E7" i="2"/>
  <c r="D7" i="2"/>
  <c r="B7" i="2"/>
  <c r="E6" i="2"/>
  <c r="D6" i="2"/>
  <c r="E5" i="2"/>
  <c r="D5" i="2"/>
  <c r="E4" i="2"/>
  <c r="D4" i="2"/>
</calcChain>
</file>

<file path=xl/sharedStrings.xml><?xml version="1.0" encoding="utf-8"?>
<sst xmlns="http://schemas.openxmlformats.org/spreadsheetml/2006/main" count="4230" uniqueCount="1999">
  <si>
    <t>Ngày</t>
  </si>
  <si>
    <t>Tuần</t>
  </si>
  <si>
    <t>Giai đoạn</t>
  </si>
  <si>
    <t>Loại ngày</t>
  </si>
  <si>
    <t>Chủ đề / Trọng tâm</t>
  </si>
  <si>
    <t>Từ vựng mới hôm nay (thật, từ tài liệu của bạn)</t>
  </si>
  <si>
    <t>Số từ</t>
  </si>
  <si>
    <t>Từ vựng lũy kế (thật)</t>
  </si>
  <si>
    <t>Trọng tâm ngữ pháp / Tài liệu tham chiếu</t>
  </si>
  <si>
    <t>Nhiệm vụ Nghe</t>
  </si>
  <si>
    <t>Nhiệm vụ Nói/Hội thoại</t>
  </si>
  <si>
    <t>Nhiệm vụ Đọc/Viết/Bài tập</t>
  </si>
  <si>
    <t>Ôn tập SRS (PandaHán Pro)</t>
  </si>
  <si>
    <t>Hoàn thành</t>
  </si>
  <si>
    <t>Ghi chú</t>
  </si>
  <si>
    <t>Pinyin Tone Quest — Trạm</t>
  </si>
  <si>
    <t>Chế độ game chính</t>
  </si>
  <si>
    <t>Chuỗi hoạt động Pinyin Tone Quest</t>
  </si>
  <si>
    <t>Nhiệm vụ Quest trong ngày</t>
  </si>
  <si>
    <t>XP mục tiêu</t>
  </si>
  <si>
    <t>Điều kiện đóng dấu trạm</t>
  </si>
  <si>
    <t>Câu hỏi chốt từ bài khóa</t>
  </si>
  <si>
    <t>Tiến độ Quest</t>
  </si>
  <si>
    <t>Tuần 1</t>
  </si>
  <si>
    <t>Giai đoạn 0 - Ngữ âm nền tảng (Pinyin Bootcamp)</t>
  </si>
  <si>
    <t>Học nội dung mới</t>
  </si>
  <si>
    <t>[PINYIN] 4 thanh điệu + nguyên âm đơn a,o,e,i,u,ü</t>
  </si>
  <si>
    <t>八(bā)-tám; 爸爸(bàba)-bố; 二(èr)-hai; 九(jiǔ)-chín; 六(liù)-sáu; 妈妈(māma)-mẹ; 你(nǐ)-bạn; 七(qī)-bảy</t>
  </si>
  <si>
    <t>Chưa vào ngữ pháp - 100% ngữ âm</t>
  </si>
  <si>
    <t>Nghe mẫu phát âm chuẩn, lặp lại 20 lần/âm</t>
  </si>
  <si>
    <t>Ghi âm bản thân đọc, so sánh với audio mẫu</t>
  </si>
  <si>
    <t>Viết pinyin có dấu thanh cho các âm tiết đã học</t>
  </si>
  <si>
    <t>-</t>
  </si>
  <si>
    <t>Luyện đọc rời từng thanh trên 6 nguyên âm, ghi âm so sánh mẫu</t>
  </si>
  <si>
    <t>Trạm 001</t>
  </si>
  <si>
    <t>Đua thanh điệu</t>
  </si>
  <si>
    <t>Đua thanh điệu → Phân biệt âm → Nói theo rubric → Viết Pinyin → Ôn SRS</t>
  </si>
  <si>
    <t>Hoàn thành 5 hoạt động theo thứ tự; chốt 1 lỗi hoặc 1 tiến bộ sau lượt cuối.</t>
  </si>
  <si>
    <t>60</t>
  </si>
  <si>
    <t>Hoàn thành đủ hoạt động, có ít nhất một lượt đọc/nói và ghi lại một điểm cần giữ hoặc sửa.</t>
  </si>
  <si>
    <t>Nhân vật đã làm gì sau khi tan học?</t>
  </si>
  <si>
    <t>□ Chưa làm</t>
  </si>
  <si>
    <t>[PINYIN] Phụ âm đầu b/p/m/f, d/t/n/l</t>
  </si>
  <si>
    <t>八(bā)-tám; 爸爸(bàba)-bố; 二(èr)-hai; 九(jiǔ)-chín; 六(liù)-sáu; 妈妈(māma)-mẹ; 你(nǐ)-bạn</t>
  </si>
  <si>
    <t>Phân biệt cặp bật hơi/không bật hơi (b-p, d-t)</t>
  </si>
  <si>
    <t>Trạm 002</t>
  </si>
  <si>
    <t>Vì sao cả lớp phải phân biệt b/p và d/t?</t>
  </si>
  <si>
    <t>[PINYIN] Phụ âm j/q/x (mặt lưỡi)</t>
  </si>
  <si>
    <t>So sánh j/q/x với zh/ch/sh để KHÔNG nhầm lẫn</t>
  </si>
  <si>
    <t>Trạm 003</t>
  </si>
  <si>
    <t>Học sinh sửa lỗi j và zh bằng cách nào?</t>
  </si>
  <si>
    <t>[PINYIN] Âm uốn lưỡi zh/ch/sh/r vs z/c/s</t>
  </si>
  <si>
    <t>TRỌNG ĐIỂM: người Việt hay đọc sai vì tiếng Việt không có âm uốn lưỡi</t>
  </si>
  <si>
    <t>Trạm 004</t>
  </si>
  <si>
    <t>Âm nào cần uốn lưỡi?</t>
  </si>
  <si>
    <t>[PINYIN] Vận mẫu mũi -n vs -ng (an/ang, in/ing, en/eng)</t>
  </si>
  <si>
    <t>Luyện phân biệt bằng cặp từ tối thiểu, ghi âm so sánh</t>
  </si>
  <si>
    <t>Trạm 005</t>
  </si>
  <si>
    <t>Vì sao phải đọc rõ âm cuối?</t>
  </si>
  <si>
    <t>[PINYIN] Biến điệu: thanh 3+3, biến điệu của 不 và 一</t>
  </si>
  <si>
    <t>Quy tắc: 3+3→2+3; 不 đọc thanh 2 trước thanh 4; 一 đổi thanh theo âm sau</t>
  </si>
  <si>
    <t>Trạm 006</t>
  </si>
  <si>
    <t>Quy tắc nào làm cách đọc 不 thay đổi?</t>
  </si>
  <si>
    <t>Ôn tập &amp; kiểm tra tuần</t>
  </si>
  <si>
    <t>Ôn tập tuần 1</t>
  </si>
  <si>
    <t>Ôn tập tổng hợp + kiểm tra</t>
  </si>
  <si>
    <t>Nghe lại toàn bộ audio trong tuần, làm bài test nghe</t>
  </si>
  <si>
    <t>Thi nói: trả lời 8-10 câu hỏi tổng hợp chủ đề tuần</t>
  </si>
  <si>
    <t>Làm bài test viết + đọc hiểu tổng hợp tuần</t>
  </si>
  <si>
    <t>Ôn TOÀN BỘ từ đến hạn trên PandaHán Pro (mục Flashcard SRS)</t>
  </si>
  <si>
    <t>Xem 'Tiến độ học tập' trên PandaHán Pro để biết từ hay sai</t>
  </si>
  <si>
    <t>Trạm 007</t>
  </si>
  <si>
    <t>Boss nghe tuần</t>
  </si>
  <si>
    <t>Boss nghe tuần → Boss nói tuần → Boss đọc tuần → Boss viết tuần → Boss ôn tập</t>
  </si>
  <si>
    <t>Vượt Boss tuần: hoàn thành đầy đủ 5 hoạt động và tự ghi 3 lỗi cần ôn lại.</t>
  </si>
  <si>
    <t>100</t>
  </si>
  <si>
    <t>Đúng từ 80% mục tiêu Boss trở lên + hoàn tất ôn SRS + ghi 3 lỗi trọng tâm.</t>
  </si>
  <si>
    <t>Ba dạng co rút pinyin hôm nay là gì?</t>
  </si>
  <si>
    <t>Tuần 2</t>
  </si>
  <si>
    <t>[PINYIN] Âm tiết co rút: iu(iou), ui(uei), un(uen)</t>
  </si>
  <si>
    <t>Học quy tắc viết tắt pinyin</t>
  </si>
  <si>
    <t>Trạm 008</t>
  </si>
  <si>
    <t>Học sinh đã dùng mẫu hội thoại nào?</t>
  </si>
  <si>
    <t>[PINYIN] Khinh thanh &amp; 儿化 (erhua) cơ bản</t>
  </si>
  <si>
    <t>Luyện từ có thanh nhẹ (的/了/吗) và từ có đuôi 儿</t>
  </si>
  <si>
    <t>Trạm 009</t>
  </si>
  <si>
    <t>Buổi sáng nhân vật đi đâu?</t>
  </si>
  <si>
    <t>[PINYIN] Tổng ôn ngữ âm + thi thử đọc</t>
  </si>
  <si>
    <t>Thi đọc 60 âm tiết bất kỳ, đạt &gt;=90% mới sang từ vựng đại trà</t>
  </si>
  <si>
    <t>Trạm 010</t>
  </si>
  <si>
    <t>Ngày mai học sinh sẽ bắt đầu đọc gì?</t>
  </si>
  <si>
    <t>Giai đoạn 1 - Bậc 1 (223/500 từ, đã bổ sung cge.edu.vn)</t>
  </si>
  <si>
    <t>Từ vựng Bậc 1 (thật) - phần 11</t>
  </si>
  <si>
    <t>爱(ài)-yêu; 八(bā)-tám; 爸爸(bàba)-bố; 杯子(bēizi)-cái cốc; 北京(běijīng)-Bắc Kinh; 本(běn)-cuốn, quyển; 不(bù)-không; 菜(cài)-rau, món ăn; 茶(chá)-trà; 吃(chī)-ăn; 出租车(chūzūchē)-xe taxi</t>
  </si>
  <si>
    <t>Nguồn: HSK1_TuVung_TamNgu_Full.docx (+ bổ sung cge.edu.vn) (mục từ vựng có sẵn chiết tự + cụm từ + ví dụ)</t>
  </si>
  <si>
    <t>Nghe bài hát/podcast ngắn, tìm từ vựng đã học</t>
  </si>
  <si>
    <t>Trả lời câu hỏi ứng khẩu kiểu HSKK (5 câu)</t>
  </si>
  <si>
    <t>Đọc phần Chiết tự + Cụm từ + Ví dụ trong tài liệu, viết lại 3 câu mới</t>
  </si>
  <si>
    <t>Nhập/ôn từ mới trên PandaHán Pro (mục Thêm từ vựng nếu chưa có) + Flashcard SRS</t>
  </si>
  <si>
    <t>Trạm 011</t>
  </si>
  <si>
    <t>Nước rút từ vựng</t>
  </si>
  <si>
    <t>Nước rút từ vựng → Nghĩa nhanh → Roleplay hội thoại → Đọc hiểu nhanh → Nói theo rubric → Ôn SRS</t>
  </si>
  <si>
    <t>Hoàn thành 6 hoạt động theo thứ tự; chốt 1 lỗi hoặc 1 tiến bộ sau lượt cuối.</t>
  </si>
  <si>
    <t>Nhân vật chính đã làm gì trước, và sau đó điều gì xảy ra? Hãy trả lời bằng 1–2 câu ngắn.</t>
  </si>
  <si>
    <t>Từ vựng Bậc 1 (thật) - phần 12</t>
  </si>
  <si>
    <t>大(dà)-to, lớn; 的(de)-của; 点(diǎn)-giờ, điểm; 电脑(diànnǎo)-máy tính; 电视(diànshì)-tivi; 电影(diànyǐng)-phim; 东西(dōngxi)-đồ vật; 都(dōu)-đều; 对(duì)-đúng, với; 多(duō)-nhiều; 多少(duōshao)-bao nhiêu</t>
  </si>
  <si>
    <t>Luyện nghe theo dạng đề HSK đúng trình độ hiện tại</t>
  </si>
  <si>
    <t>Luyện phản xạ với bạn học</t>
  </si>
  <si>
    <t>Trạm 012</t>
  </si>
  <si>
    <t>Nước rút từ vựng → Săn tín hiệu nghe → Sắp xếp câu → Roleplay hội thoại → Nói theo rubric → Ôn SRS</t>
  </si>
  <si>
    <t>Từ vựng Bậc 1 (thật) - phần 13</t>
  </si>
  <si>
    <t>儿子(érzi)-con trai; 二(èr)-hai; 饭店(fàndiàn)-nhà hàng; 飞机(fēijī)-máy bay; 分钟(fēnzhōng)-phút; 高兴(gāoxìng)-vui mừng; 个(gè)-cái (đơn vị); 给(gěi)-cho; 跟(gēn)-với, theo; 工作(gōngzuò)-công việc; 国(guó)-nước, quốc gia</t>
  </si>
  <si>
    <t>Nghe hội thoại chủ đề tuần trên PandaHán Pro / audio giáo trình, chép 5 câu pinyin</t>
  </si>
  <si>
    <t>Shadowing theo audio mẫu, ghi âm và tự nghe lại</t>
  </si>
  <si>
    <t>Trạm 013</t>
  </si>
  <si>
    <t>Ghép từ</t>
  </si>
  <si>
    <t>Ghép từ → Săn tín hiệu nghe → Đọc đục lỗ → Sắp xếp câu → Nói theo rubric → Ôn SRS</t>
  </si>
  <si>
    <t>Ôn tập tuần 2</t>
  </si>
  <si>
    <t>Trạm 014</t>
  </si>
  <si>
    <t>Tuần 3</t>
  </si>
  <si>
    <t>Từ vựng Bậc 1 (thật) - phần 15</t>
  </si>
  <si>
    <t>孩子(háizi)-trẻ con; 还(hái)-vẫn, còn; 好(hǎo)-tốt; 喝(hē)-uống; 和(hé)-và; 很(hěn)-rất; 红(hóng)-màu đỏ; 后(hòu)-sau, hậu; 会(huì)-sẽ, biết; 家(jiā)-nhà, gia đình; 叫(jiào)-gọi, tên là</t>
  </si>
  <si>
    <t>Trạm 015</t>
  </si>
  <si>
    <t>Từ vựng Bậc 1 (thật) - phần 16</t>
  </si>
  <si>
    <t>今天(jīntiān)-hôm nay; 九(jiǔ)-chín; 开(kāi)-mở; 看(kàn)-nhìn; 看见(kànjiàn)-nhìn thấy; 块(kuài)-đồng, miếng; 来(lái)-đến; 老师(lǎoshī)-giáo viên; 了(le)-đã, rồi; 冷(lěng)-lạnh; 里(lǐ)-trong</t>
  </si>
  <si>
    <t>Trạm 016</t>
  </si>
  <si>
    <t>Từ vựng Bậc 1 (thật) - phần 17</t>
  </si>
  <si>
    <t>零(líng)-số không; 六(liù)-sáu; 妈妈(māma)-mẹ; 吗(ma)-(câu hỏi); 买(mǎi)-mua; 卖(mài)-bán; 没(méi)-không, chưa; 没关系(méiguānxi)-không sao; 米饭(mǐfàn)-cơm; 名字(míngzi)-tên; 明天(míngtiān)-ngày mai</t>
  </si>
  <si>
    <t>Trạm 017</t>
  </si>
  <si>
    <t>Từ vựng Bậc 1 (thật) - phần 18</t>
  </si>
  <si>
    <t>哪(nǎ)-nào; 那(nà)-đó, kia; 呢(ne)-(câu hỏi); 能(néng)-có thể; 你(nǐ)-bạn; 年(nián)-năm; 女儿(nǚ'ér)-con gái; 朋友(péngyou)-bạn bè; 漂亮(piàoliang)-xinh đẹp; 苹果(píngguǒ)-quả táo; 七(qī)-bảy</t>
  </si>
  <si>
    <t>Nghe audio, trả lời câu hỏi trắc nghiệm</t>
  </si>
  <si>
    <t>Đóng vai hội thoại theo tình huống chủ đề</t>
  </si>
  <si>
    <t>Trạm 018</t>
  </si>
  <si>
    <t>Từ vựng Bậc 1 (thật) - phần 19</t>
  </si>
  <si>
    <t>钱(qián)-tiền; 前(qián)-trước; 请(qǐng)-mời, xin; 去(qù)-đi; 热(rè)-nóng; 人(rén)-người; 认识(rènshi)-quen biết; 三(sān)-ba; 商店(shāngdiàn)-cửa hàng; 上(shàng)-trên; 少(shǎo)-ít</t>
  </si>
  <si>
    <t>Trạm 019</t>
  </si>
  <si>
    <t>Từ vựng Bậc 1 (thật) - phần 20</t>
  </si>
  <si>
    <t>谁(shéi)-ai; 什么(shénme)-gì; 十(shí)-mười; 时候(shíhou)-lúc; 是(shì)-là; 书(shū)-sách; 水(shuǐ)-nước; 水果(shuǐguǒ)-hoa quả; 睡觉(shuìjiào)-ngủ; 说(shuō)-nói; 四(sì)-bốn</t>
  </si>
  <si>
    <t>Trạm 020</t>
  </si>
  <si>
    <t>Ôn tập tuần 3</t>
  </si>
  <si>
    <t>Trạm 021</t>
  </si>
  <si>
    <t>Tuần 4</t>
  </si>
  <si>
    <t>Từ vựng Bậc 1 (thật) - phần 22</t>
  </si>
  <si>
    <t>岁(suì)-tuổi; 他(tā)-anh ấy; 她(tā)-cô ấy; 太(tài)-quá; 天气(tiānqì)-thời tiết; 听(tīng)-nghe; 同学(tóngxué)-bạn học; 喂(wèi)-a lô; 我(wǒ)-tôi; 我们(wǒmen)-chúng tôi; 五(wǔ)-năm (số 5)</t>
  </si>
  <si>
    <t>Trạm 022</t>
  </si>
  <si>
    <t>Từ vựng Bậc 1 (thật) - phần 23</t>
  </si>
  <si>
    <t>喜欢(xǐhuān)-thích; 下(xià)-dưới; 先生(xiānsheng)-ông, ngài; 现在(xiànzài)-bây giờ; 想(xiǎng)-muốn, nghĩ; 小(xiǎo)-nhỏ; 小姐(xiǎojiě)-cô, tiểu thư; 小时(xiǎoshí)-giờ, tiếng; 写(xiě)-viết; 谢谢(xièxie)-cảm ơn; 星期(xīngqī)-tuần, thứ</t>
  </si>
  <si>
    <t>Trạm 023</t>
  </si>
  <si>
    <t>Từ vựng Bậc 1 (thật) - phần 24</t>
  </si>
  <si>
    <t>学生(xuéshēng)-học sinh; 学习(xuéxí)-học tập; 学校(xuéxiào)-trường học; 一(yī)-một; 衣服(yīfu)-quần áo; 医生(yīshēng)-bác sĩ; 医院(yīyuàn)-bệnh viện; 已经(yǐjīng)-đã; 意思(yìsi)-ý nghĩa; 有(yǒu)-có; 月(yuè)-tháng, trăng</t>
  </si>
  <si>
    <t>Trạm 024</t>
  </si>
  <si>
    <t>Từ vựng Bậc 1 (thật) - phần 25</t>
  </si>
  <si>
    <t>在(zài)-ở, tại; 怎么(zěnme)-thế nào; 怎么样(zěnmeyàng)-thế nào; 这(zhè)-này; 中国(zhōngguó)-Trung Quốc; 中午(zhōngwǔ)-buổi trưa; 住(zhù)-sống, ở; 准备(zhǔnbèi)-chuẩn bị; 桌子(zhuōzi)-cái bàn; 字(zì)-chữ; 自行车(zìxíngchē)-xe đạp</t>
  </si>
  <si>
    <t>Trạm 025</t>
  </si>
  <si>
    <t>Từ vựng Bậc 1 (thật) - phần 26</t>
  </si>
  <si>
    <t>走(zǒu)-đi; 最(zuì)-nhất; 昨天(zuótiān)-hôm qua; 坐(zuò)-ngồi; 做(zuò)-làm; 左(zuǒ)-trái; 爱好(àihào)-từ Yêu thích; yêu chuộng; 吧(ba)-từ Nhé; chứ; nào; thôi; 白(bái)-từ Trắng, màu trắng; 白天(báitiān)-từ Ban ngày</t>
  </si>
  <si>
    <t>Trạm 026</t>
  </si>
  <si>
    <t>Từ vựng Bậc 1 (thật) - phần 27</t>
  </si>
  <si>
    <t>百(bǎi)-từ Một trăm; số 100; 班(bān)-từ Lớp học; 半(bàn)-từ Một nửa; 半年(bànnián)-từ Nửa năm; 半天(bàntiān)-từ Nửa ngày; 帮(bāng)-từ Giúp đỡ, trợ giúp; 帮忙(bāngmáng)-từ Giúp, giúp đỡ; 包(bāo)-từ Bao; gói; bọc; quấn; 包子(bāozǐ)-từ Bánh bao; 杯(bēi)-từ Ly; cốc</t>
  </si>
  <si>
    <t>Trạm 027</t>
  </si>
  <si>
    <t>Ôn tập tuần 4</t>
  </si>
  <si>
    <t>Trạm 028</t>
  </si>
  <si>
    <t>Tuần 5</t>
  </si>
  <si>
    <t>Từ vựng Bậc 1 (thật) - phần 29</t>
  </si>
  <si>
    <t>北(běi)-từ Bắc, phía bắc; 北边(běibian)-từ Phía bắc; 本子(běnzǐ)-từ Cuốn; tập; vở; 比(bǐ)-từ Hơn, so, so với; 别(bié)-từ Đừng; chớ; 别的(biéde)-từ Khác; cái khác; 别人(biérén)-từ Người khác; người ta; 病(bìng)-từ Bệnh; ốm; 病人(bìngrén)-từ Bệnh nhân; người bệnh; 不大(bùdà)-từ Không to; không lớn</t>
  </si>
  <si>
    <t>Trạm 029</t>
  </si>
  <si>
    <t>Từ vựng Bậc 1 (thật) - phần 30</t>
  </si>
  <si>
    <t>不对(bùduì)-từ Không đúng; 不客气(búkèqi)-từ Không có gì; đừng khách sáo; 不用(búyòng)-từ Không cần; không phải; 差(chà)-từ Kém; tệ; không đạt; 常(cháng)-từ Thường; thường xuyên; 尝尝(chángcháng)-từ Nếm; thử (ăn, uống); 唱(chàng)-từ Hát; ca; 唱歌(chànggē)-từ Hát; ca hát; 车(chē)-từ Xe; 车票(chēpiào)-từ Vé xe</t>
  </si>
  <si>
    <t>Trạm 030</t>
  </si>
  <si>
    <t>Từ vựng Bậc 1 (thật) - phần 31</t>
  </si>
  <si>
    <t>车上(chēshàng)-từ Trên xe; 车站(chēzhàn)-từ Trạm xe; 吃饭(chīfàn)-từ Ăn cơm; 出(chū)-từ Đi; xuất phát; 出来(chūlái)-từ Ra; ra đây; 出去(chūqù)-từ Ra; ra ngoài; 穿(chuān)-từ Mặc; đi; mang; đeo; 床(chuáng)-từ Giường; 次(cì)-từ Lần; lượt; đợt; 从(cóng)-từ Từ; bắt đầu từ</t>
  </si>
  <si>
    <t>Trạm 031</t>
  </si>
  <si>
    <t>Từ vựng Bậc 1 (thật) - phần 32</t>
  </si>
  <si>
    <t>错(cuò)-từ Sai; nhầm; không đúng; 打(dǎ)-từ Gõ; đánh; đập; 打车(dǎchē)-từ Bắt xe; gọi xe (taxi); 打电话(dǎdiànhuà)-từ Gọi điện thoại; 打开(dǎkāi)-từ Mở ra; 打球(dǎqiú)-từ Đánh bóng; chơi bóng; 大学(dàxué)-từ Đại học; 大学生(dàxuéshēng)-từ Sinh viên đại học; 到(dào)-từ Đến; 得到(dédào)-từ Đạt được; nhận được</t>
  </si>
  <si>
    <t>Trạm 032</t>
  </si>
  <si>
    <t>Từ vựng Bậc 1 (thật) - phần 33</t>
  </si>
  <si>
    <t>地(de)-từ Mà, một cách; 等(děng)-từ Đợi; chờ; chờ đợi; 地点(dìdiǎn)-từ Địa điểm; nơi chốn; 地方(dìfāng)-từ Bản xứ, bản địa; 地上(dìshàng)-từ Mặt đất; dưới đất; 地图(dìtú)-từ Bản đồ; 弟弟(dìdi)-từ Em trai; 第(dì)-tố Thứ tự; thứ hạng; 电(diàn)-từ Điện; pin; điện năng; 电话(diànhuà)-từ Điện thoại</t>
  </si>
  <si>
    <t>Trạm 033</t>
  </si>
  <si>
    <t>Từ vựng Bậc 1 (thật) - phần 34</t>
  </si>
  <si>
    <t>电影院(diànyǐngyuàn)-từ Rạp chiếu phim; 东(dōng)-từ Đông; hướng đông; 东边(dōngbian)-từ Phía đông, hướng đông; 动(dòng)-từ Chuyển động; cử động; 动作(dòngzuò)-từ Động tác; hành động; 读(dú)-từ Đọc; xem; 读书(dúshū)-từ Học bài; 对不起(duìbuqǐ)-từ Xin lỗi; 饿(è)-từ Đói; bị đói; 饭(fàn)-từ Cơm; bữa</t>
  </si>
  <si>
    <t>Trạm 034</t>
  </si>
  <si>
    <t>Ôn tập tuần 5</t>
  </si>
  <si>
    <t>Trạm 035</t>
  </si>
  <si>
    <t>Tuần 6</t>
  </si>
  <si>
    <t>Giai đoạn 2 - Bậc 2 (240/772 từ, đã bổ sung cge.edu.vn)</t>
  </si>
  <si>
    <t>Từ vựng Bậc 2 (thật) - phần 36</t>
  </si>
  <si>
    <t>吧(ba)-nhé, thôi; 百(bǎi)-trăm; 帮助(bāngzhù)-giúp đỡ; 报纸(bàozhǐ)-báo giấy; 比(bǐ)-so với; 别(bié)-đừng; 常(cháng)-thường; 唱歌(chànggē)-hát</t>
  </si>
  <si>
    <t>Nguồn: HSK2_TuVung_TamNgu_Full.docx (+ bổ sung cge.edu.vn) (mục từ vựng có sẵn chiết tự + cụm từ + ví dụ)</t>
  </si>
  <si>
    <t>Trạm 036</t>
  </si>
  <si>
    <t>Điều gì khiến nhân vật thay đổi hoặc giữ nguyên kế hoạch? Hãy nêu lý do trong đoạn.</t>
  </si>
  <si>
    <t>Từ vựng Bậc 2 (thật) - phần 37</t>
  </si>
  <si>
    <t>穿(chuān)-mặc; 错(cuò)-sai; 打篮球(dǎ lánqiú)-chơi bóng rổ; 到(dào)-đến; 得(de)-(bổ ngữ); 等(děng)-đợi; 弟弟(dìdi)-em trai; 第一(dì-yī)-thứ nhất</t>
  </si>
  <si>
    <t>Trạm 037</t>
  </si>
  <si>
    <t>Từ vựng Bậc 2 (thật) - phần 38</t>
  </si>
  <si>
    <t>懂(dǒng)-hiểu; 对不起(duìbuqǐ)-xin lỗi; 房间(fángjiān)-căn phòng; 非常(fēicháng)-rất; 服务员(fúwùyuán)-nhân viên phục vụ; 高(gāo)-cao; 告诉(gàosu)-bảo; 哥哥(gēge)-anh trai</t>
  </si>
  <si>
    <t>Trạm 038</t>
  </si>
  <si>
    <t>Từ vựng Bậc 2 (thật) - phần 39</t>
  </si>
  <si>
    <t>狗(gǒu)-con chó; 贵(guì)-đắt; 过(guò)-đã từng, qua; 好吃(hǎochī)-ngon; 黑(hēi)-đen; 后面(hòumiàn)-phía sau; 回(huí)-về; 回答(huídá)-trả lời</t>
  </si>
  <si>
    <t>Trạm 039</t>
  </si>
  <si>
    <t>Từ vựng Bậc 2 (thật) - phần 40</t>
  </si>
  <si>
    <t>火车站(huǒchēzhàn)-ga tàu hỏa; 机场(jīchǎng)-sân bay; 鸡蛋(jīdàn)-trứng gà; 几(jǐ)-mấy; 件(jiàn)-chiếc, cái; 进(jìn)-vào; 近(jìn)-gần; 就(jiù)-thì, liền</t>
  </si>
  <si>
    <t>Trạm 040</t>
  </si>
  <si>
    <t>Từ vựng Bậc 2 (thật) - phần 41</t>
  </si>
  <si>
    <t>觉得(juéde)-cảm thấy; 咖啡(kāfēi)-cà phê; 开始(kāishǐ)-bắt đầu; 考试(kǎoshì)-kỳ thi; 可能(kěnéng)-có thể; 可以(kěyǐ)-có thể; 课(kè)-bài học; 快(kuài)-nhanh</t>
  </si>
  <si>
    <t>Trạm 041</t>
  </si>
  <si>
    <t>Ôn tập tuần 6</t>
  </si>
  <si>
    <t>Trạm 042</t>
  </si>
  <si>
    <t>Tuần 7</t>
  </si>
  <si>
    <t>Từ vựng Bậc 2 (thật) - phần 43</t>
  </si>
  <si>
    <t>快乐(kuàilè)-vui vẻ; 累(lèi)-mệt; 离(lí)-cách; 两(liǎng)-hai; 路(lù)-đường; 旅游(lǚyóu)-du lịch; 猫(māo)-con mèo; 每(měi)-mỗi</t>
  </si>
  <si>
    <t>Trạm 043</t>
  </si>
  <si>
    <t>Từ vựng Bậc 2 (thật) - phần 44</t>
  </si>
  <si>
    <t>妹妹(mèimei)-em gái; 门(mén)-cửa; 男(nán)-đàn ông; 难(nán)-khó; 您(nín)-ngài (kính trọng); 牛奶(niúnǎi)-sữa bò; 女人(nǚrén)-phụ nữ; 旁边(pángbiān)-bên cạnh</t>
  </si>
  <si>
    <t>Trạm 044</t>
  </si>
  <si>
    <t>Từ vựng Bậc 2 (thật) - phần 45</t>
  </si>
  <si>
    <t>跑步(pǎobù)-chạy bộ; 便宜(piányi)-rẻ; 票(piào)-vé; 妻子(qīzi)-vợ; 起床(qǐchuáng)-thức dậy; 千(qiān)-nghìn; 前面(qiánmiàn)-phía trước; 晴(qíng)-nắng</t>
  </si>
  <si>
    <t>Trạm 045</t>
  </si>
  <si>
    <t>Từ vựng Bậc 2 (thật) - phần 46</t>
  </si>
  <si>
    <t>去年(qùnián)-năm ngoái; 让(ràng)-nhường, để cho; 日(rì)-ngày; 上班(shàngbān)-đi làm; 上午(shàngwǔ)-buổi sáng; 身体(shēntǐ)-cơ thể; 生病(shēngbìng)-bị bệnh; 生日(shēngrì)-sinh nhật</t>
  </si>
  <si>
    <t>Trạm 046</t>
  </si>
  <si>
    <t>Từ vựng Bậc 2 (thật) - phần 47</t>
  </si>
  <si>
    <t>时间(shíjiān)-thời gian; 事情(shìqing)-sự việc; 手表(shǒubiǎo)-đồng hồ đeo tay; 手机(shǒujī)-điện thoại; 送(sòng)-tặng, tiễn; 所以(suǒyǐ)-cho nên; 它(tā)-nó (vật); 踢足球(tī zúqiú)-đá bóng</t>
  </si>
  <si>
    <t>Trạm 047</t>
  </si>
  <si>
    <t>Từ vựng Bậc 2 (thật) - phần 48</t>
  </si>
  <si>
    <t>题(tí)-đề, câu hỏi; 跳舞(tiàowǔ)-nhảy múa; 外(wài)-ngoài; 完(wán)-xong, hết; 玩(wán)-chơi; 晚上(wǎnshang)-buổi tối; 为什么(wèishénme)-tại sao; 问题(wèntí)-vấn đề</t>
  </si>
  <si>
    <t>Trạm 048</t>
  </si>
  <si>
    <t>Ôn tập tuần 7</t>
  </si>
  <si>
    <t>Trạm 049</t>
  </si>
  <si>
    <t>Tuần 8</t>
  </si>
  <si>
    <t>Từ vựng Bậc 2 (thật) - phần 50</t>
  </si>
  <si>
    <t>西瓜(xīguā)-dưa hấu; 希望(xīwàng)-hy vọng; 洗(xǐ)-rửa, giặt; 下午(xiàwǔ)-buổi chiều; 下雨(xià yǔ)-mưa; 些(xiē)-vài, một ít; 新(xīn)-mới; 姓(xìng)-họ là</t>
  </si>
  <si>
    <t>Trạm 050</t>
  </si>
  <si>
    <t>Từ vựng Bậc 2 (thật) - phần 51</t>
  </si>
  <si>
    <t>休息(xiūxi)-nghỉ ngơi; 雪(xuě)-tuyết; 颜色(yánsè)-màu sắc; 眼睛(yǎnjing)-mắt; 羊肉(yángròu)-thịt dê; 要(yào)-muốn, cần; 药(yào)-thuốc; 也(yě)-cũng</t>
  </si>
  <si>
    <t>Trạm 051</t>
  </si>
  <si>
    <t>Từ vựng Bậc 2 (thật) - phần 52</t>
  </si>
  <si>
    <t>一起(yìqǐ)-cùng nhau; 因为...所以(yīnwèi...suǒyǐ)-bởi vì...cho nên; 阴(yīn)-âm u; 游泳(yóuyǒng)-bơi lội; 右边(yòubian)-bên phải; 鱼(yú)-cá; 元(yuán)-đồng (tiền); 远(yuǎn)-xa</t>
  </si>
  <si>
    <t>Trạm 052</t>
  </si>
  <si>
    <t>Từ vựng Bậc 2 (thật) - phần 53</t>
  </si>
  <si>
    <t>运动(yùndòng)-vận động; 再(zài)-lại, nữa; 再见(zàijiàn)-tạm biệt; 早上(zǎoshang)-buổi sáng; 张(zhāng)-tấm, tờ; 丈夫(zhàngfu)-chồng; 找(zhǎo)-tìm; 着(zhe)-đang</t>
  </si>
  <si>
    <t>Trạm 053</t>
  </si>
  <si>
    <t>Từ vựng Bậc 2 (thật) - phần 54</t>
  </si>
  <si>
    <t>真(zhēn)-thật; 正在(zhèngzài)-đang; 知道(zhīdào)-biết; 知识(zhīshi)-kiến thức; 职业(zhíyè)-nghề nghiệp; 纸(zhǐ)-giấy; 只(zhǐ)-chỉ; 种(zhǒng)-loại</t>
  </si>
  <si>
    <t>Trạm 054</t>
  </si>
  <si>
    <t>Từ vựng Bậc 2 (thật) - phần 55</t>
  </si>
  <si>
    <t>重要(zhòngyào)-quan trọng; 注意(zhùyì)-chú ý; 着急(zháojí)-lo lắng; 自己(zìjǐ)-tự mình; 总是(zǒngshì)-luôn luôn; 祖国(zǔguó)-Tổ quốc; 啊(a)-từ A, à; 爱情(àiqíng)-từ Tình yêu, tình cảm</t>
  </si>
  <si>
    <t>Trạm 055</t>
  </si>
  <si>
    <t>Ôn tập tuần 8</t>
  </si>
  <si>
    <t>Trạm 056</t>
  </si>
  <si>
    <t>Tuần 9</t>
  </si>
  <si>
    <t>Từ vựng Bậc 2 (thật) - phần 57</t>
  </si>
  <si>
    <t>爱人(àirén)-từ Người yêu; 安静(ānjìng)-từ Yên tĩnh; 安全(ānquán)-từ An toàn; 白色(báisè)-từ Màu trắng; 班长(bānzhǎng)-từ Lớp trưởng; 办(bàn)-từ Làm, xử lý; 办法(bànfǎ)-từ Cách làm, biện pháp; 办公室(bàngōngshì)-từ Phòng làm việc</t>
  </si>
  <si>
    <t>Trạm 057</t>
  </si>
  <si>
    <t>Từ vựng Bậc 2 (thật) - phần 58</t>
  </si>
  <si>
    <t>半夜(bànyè)-từ Nửa đêm; 饱(bǎo)-từ No; 报名(bàomíng)-từ Đăng ký; 北方(běifāng)-từ Phương bắc; 背(bēi)-từ Cõng, mang vác; 比如(bǐrú)-từ Ví dụ; 比如说(bǐrúshuō)-từ Ví dụ, chẳng hạn như; 笔(bǐ)-từ Bút</t>
  </si>
  <si>
    <t>Trạm 058</t>
  </si>
  <si>
    <t>Từ vựng Bậc 2 (thật) - phần 59</t>
  </si>
  <si>
    <t>笔记(bǐjì)-từ Ghi chép; 笔记本(bǐjìběn)-từ Sổ ghi chép; 必须(bìxū)-từ Cần, phải; 边(biān)-từ Bên, bên cạnh; 变(biàn)-từ Biến đổi, thay đổi; 变成(biànchéng)-từ Trở thành, biến thành; 遍(biàn)-từ Lần; 表(biǎo)-từ Bảng, đồng hồ</t>
  </si>
  <si>
    <t>Trạm 059</t>
  </si>
  <si>
    <t>Từ vựng Bậc 2 (thật) - phần 60</t>
  </si>
  <si>
    <t>表示(biǎoshì)-từ Biểu thị, bày tỏ; 不错(búcuò)-từ Không tệ, khá tốt; 不但(búdàn)-từ Không những, không chỉ; 不够(búgòu)-từ Không đủ; 不过(búguò)-từ Nhưng, tuy nhiên; 不太(bútài)-từ Không quá, không lắm; 不要(búyào)-từ Đừng, không được; 不好意思(bùhǎoyìsi)-từ Ngại, xấu hổ</t>
  </si>
  <si>
    <t>Trạm 060</t>
  </si>
  <si>
    <t>Từ vựng Bậc 2 (thật) - phần 61</t>
  </si>
  <si>
    <t>不久(bùjiǔ)-từ Không lâu, chẳng bao lâu; 不满(bùmǎn)-từ Bất mãn, không hài lòng; 不如(bùrú)-từ Không bằng; 不少(bùshǎo)-từ Không ít; 不同(bùtóng)-từ Không giống, khác nhau; 不行(bùxíng)-từ Không được, không ổn; 不一定(bùyídìng)-từ Không nhất định, chưa chắc; 不一会儿(bùyíhuìr)-từ Chẳng bao lâu, không lâu sau</t>
  </si>
  <si>
    <t>Trạm 061</t>
  </si>
  <si>
    <t>Từ vựng Bậc 2 (thật) - phần 62</t>
  </si>
  <si>
    <t>部分(bùfen)-từ Phần, bộ phận; 才(cái)-từ Mới, vừa mới; 菜单(càidān)-từ Thực đơn; 参观(cānguān)-từ Tham quan; 参加(cānjiā)-từ Tham gia; 草(cǎo)-từ Cỏ; 草地(cǎodì)-từ Bãi cỏ; 层(céng)-từ Tầng (lầu)</t>
  </si>
  <si>
    <t>Trạm 062</t>
  </si>
  <si>
    <t>Ôn tập tuần 9</t>
  </si>
  <si>
    <t>Trạm 063</t>
  </si>
  <si>
    <t>Tuần 10</t>
  </si>
  <si>
    <t>Từ vựng Bậc 2 (thật) - phần 64</t>
  </si>
  <si>
    <t>查(chá)-từ Tra cứu, kiểm tra; 差不多(chàbuduō)-từ Gần như, xấp xỉ; 长(cháng)-từ Dài; 常见(chángjiàn)-từ Thường thấy; 常用(chángyòng)-từ Thường dùng; 场(chǎng)-từ Sân, bãi; 超过(chāoguò)-từ Vượt qua; 超市(chāoshì)-từ Siêu thị</t>
  </si>
  <si>
    <t>Trạm 064</t>
  </si>
  <si>
    <t>Từ vựng Bậc 2 (thật) - phần 65</t>
  </si>
  <si>
    <t>车辆(chēliàng)-từ Xe cộ; 称(chēng)-từ Gọi là, xưng là; 成(chéng)-từ Trở thành; 成绩(chéngjì)-từ Thành tích; 成为(chéngwéi)-từ Trở thành; 重复(chóngfù)-từ Lặp lại; 重新(chóngxīn)-từ Làm lại từ đầu; 出发(chūfā)-từ Xuất phát</t>
  </si>
  <si>
    <t>Trạm 065</t>
  </si>
  <si>
    <t>Từ vựng Bậc 2 (thật) - phần 66</t>
  </si>
  <si>
    <t>出国(chūguó)-từ Ra nước ngoài; 出口(chūkǒu)-từ Lối ra; 出门(chūmén)-từ Ra ngoài; 出生(chūshēng)-từ Sinh ra; 出现(chūxiàn)-từ Xuất hiện; 出院(chūyuàn)-từ Xuất viện; 出租(chūzū)-từ Cho thuê; 出租车(chūzūchē)-từ Xe taxi</t>
  </si>
  <si>
    <t>Trạm 066</t>
  </si>
  <si>
    <t>Từ vựng Bậc 2 (thật) - phần 67</t>
  </si>
  <si>
    <t>船(chuán)-từ Thuyền; 吹(chuī)-từ Thổi; 春节(Chūnjié)-từ Tết nguyên đán; 春天(chūntiān)-từ Mùa xuân; 词(cí)-từ Từ, lời, lời văn; 词典(cídiǎn)-từ Từ điển; 词语(cíyǔ)-từ Từ ngữ; 从小(cóngxiǎo)-từ Từ nhỏ</t>
  </si>
  <si>
    <t>Trạm 067</t>
  </si>
  <si>
    <t>Từ vựng Bậc 2 (thật) - phần 68</t>
  </si>
  <si>
    <t>答应(dāyìng)-từ Đồng ý, hứa; 打工(dǎgōng)-từ Làm việc (bán thời gian); 打算(dǎsuàn)-từ Dự định, kế hoạch; 打印(dǎyìn)-từ In ấn; 大部分(dàbùfen)-từ Phần lớn, đa số; 大大(dàdà)-từ Rất, cực kỳ; 大海(dàhǎi)-từ Đại dương, biển lớn; 大多数(dàduōshù)-từ Đại đa số, phần lớn</t>
  </si>
  <si>
    <t>Trạm 068</t>
  </si>
  <si>
    <t>Từ vựng Bậc 2 (thật) - phần 69</t>
  </si>
  <si>
    <t>大家(dàjiā)-từ Mọi người; 大量(dàliàng)-từ Số lượng lớn; 大门(dàmén)-từ Cổng lớn; 大人(dàrén)-từ Người lớn; 大声(dàshēng)-từ Nói to, giọng to; 大小(dàxiǎo)-từ Kích thước, lớn nhỏ; 大衣(dàyī)-từ Áo khoác dài; 大自然(dàzìrán)-từ Thiên nhiên</t>
  </si>
  <si>
    <t>Trạm 069</t>
  </si>
  <si>
    <t>Ôn tập tuần 10</t>
  </si>
  <si>
    <t>Trạm 070</t>
  </si>
  <si>
    <t>Tuần 11</t>
  </si>
  <si>
    <t>Giai đoạn 3 - Bậc 3 (375/973 từ: 195 lõi+180 chủ đề, đã bổ sung)</t>
  </si>
  <si>
    <t>Chủ đề 1/18: Chào hỏi &amp; Giới thiệu bản thân (mở rộng) (问候与自我介绍)</t>
  </si>
  <si>
    <t>性格(xìnggé)-tính cách; 外向(wàixiàng)-hướng ngoại; 内向(nèixiàng)-hướng nội; 爱好(àihào)-sở thích; 理想(lǐxiǎng)-lý tưởng, ước mơ; 阿姨(āyí)-cô, dì; 安静(ānjìng)-yên tĩnh; 办法(bànfǎ)-cách làm; 变化(biànhuà)-thay đổi; 表示(biǎoshì)-biểu thị; 表演(biǎoyǎn)-biểu diễn</t>
  </si>
  <si>
    <t>Học Mục tiêu giao tiếp + Từ vựng 1-5/10 + Mẫu câu 1-3</t>
  </si>
  <si>
    <t>Nghe mẫu câu 1-3 của chủ đề, luyện đọc theo</t>
  </si>
  <si>
    <t>Luyện nói mẫu câu 1-3 (ghi âm, tự sửa)</t>
  </si>
  <si>
    <t>Viết lại 3 câu ví dụ dùng từ vựng 1-5 vừa học</t>
  </si>
  <si>
    <t>Ôn từ chủ đề trên PandaHán Pro + làm 'Đề HSK3 3.0 Practice Sets' nếu đã học xong 2-3 chủ đề</t>
  </si>
  <si>
    <t>Trạm 071</t>
  </si>
  <si>
    <t>Từ thông tin trong đoạn, nhân vật rút ra điều gì hoặc đã lựa chọn như thế nào? Hãy nêu chi tiết làm căn cứ.</t>
  </si>
  <si>
    <t>职业(zhíyè)-nghề nghiệp; 聪明(cōngming)-thông minh; 认真(rènzhēn)-nghiêm túc, chăm chỉ; 害羞(hàixiū)-ngại ngùng; 经历(jīnglì)-kinh nghiệm, trải qua; 参加(cānjiā)-tham gia; 差(chà)-kém; 成绩(chéngjì)-thành tích; 城市(chéngshì)-thành phố; 除了(chúle)-ngoài ra; 出现(chūxiàn)-xuất hiện</t>
  </si>
  <si>
    <t>Từ vựng 6-10/10 + Mẫu câu 4-6 + Hội thoại mẫu (6 lượt lời)</t>
  </si>
  <si>
    <t>Nghe/đọc Hội thoại mẫu, chép lại 3 câu</t>
  </si>
  <si>
    <t>Đóng vai Hội thoại mẫu với bạn học hoặc ghi âm 1 mình 2 vai</t>
  </si>
  <si>
    <t>Viết lại Hội thoại mẫu, thay 2-3 chi tiết theo bản thân</t>
  </si>
  <si>
    <t>Trạm 072</t>
  </si>
  <si>
    <t>Nhiệm vụ thực hành + 4 dạng Bài tập + Đáp án + Ôn tập chủ đề</t>
  </si>
  <si>
    <t>Nghe lại toàn bộ hội thoại chủ đề, luyện phản xạ</t>
  </si>
  <si>
    <t>Nhiệm vụ thực hành: đóng vai / viết đoạn văn theo gợi ý trong tài liệu</t>
  </si>
  <si>
    <t>Làm đủ 4 dạng bài tập + tự đối chiếu đáp án (phần Phụ lục cuối tài liệu)</t>
  </si>
  <si>
    <t>Trạm 073</t>
  </si>
  <si>
    <t>Chủ đề 2/18: Gia đình &amp; Người thân (家庭与亲人)</t>
  </si>
  <si>
    <t>亲戚(qīnqi)-họ hàng; 夫妻(fūqī)-vợ chồng; 照顾(zhàogù)-chăm sóc; 长大(zhǎngdà)-lớn lên; 关系(guānxi)-mối quan hệ; 聪明(cōngming)-thông minh; 但是(dànshì)-nhưng; 担心(dānxīn)-lo lắng; 当(dāng)-khi; 到处(dàochù)-khắp nơi; 到底(dàodǐ)-rốt cuộc</t>
  </si>
  <si>
    <t>Trạm 074</t>
  </si>
  <si>
    <t>严格(yángé)-nghiêm khắc; 温柔(wēnróu)-dịu dàng; 孝顺(xiàoshùn)-hiếu thảo; 互相(hùxiāng)-lẫn nhau; 支持(zhīchí)-ủng hộ; 低(dī)-thấp; 地方(dìfāng)-địa phương; 短(duǎn)-ngắn; 多么(duōme)-biết bao; 发现(fāxiàn)-phát hiện; 方便(fāngbiàn)-tiện lợi</t>
  </si>
  <si>
    <t>Trạm 075</t>
  </si>
  <si>
    <t>Trạm 076</t>
  </si>
  <si>
    <t>Ôn tập tuần 11</t>
  </si>
  <si>
    <t>Trạm 077</t>
  </si>
  <si>
    <t>Tuần 12</t>
  </si>
  <si>
    <t>Chủ đề 3/18: Trường học – Học tập – Thi cử (学校与学习)</t>
  </si>
  <si>
    <t>专业(zhuānyè)-chuyên ngành; 成绩(chéngjì)-thành tích, điểm số; 复习(fùxí)-ôn tập; 考试(kǎoshì)-thi cử; 及格(jígé)-đạt (điểm); 放(fàng)-đặt, thả; 否则(fǒuzé)-nếu không; 改变(gǎibiàn)-thay đổi; 刚才(gāngcái)-vừa rồi; 更(gèng)-hơn, càng; 公共汽车(gōnggòng qìchē)-xe buýt</t>
  </si>
  <si>
    <t>Trạm 078</t>
  </si>
  <si>
    <t>努力(nǔlì)-nỗ lực; 请假(qǐngjià)-xin nghỉ phép; 同学(tóngxué)-bạn học; 提高(tígāo)-nâng cao; 压力(yālì)-áp lực; 公斤(gōngjīn)-kilogram; 公司(gōngsī)-công ty; 关于(guānyú)-về việc; 国家(guójiā)-quốc gia; 过去(guòqù)-quá khứ; 还是(háishì)-vẫn, hay là</t>
  </si>
  <si>
    <t>Trạm 079</t>
  </si>
  <si>
    <t>Trạm 080</t>
  </si>
  <si>
    <t>Chủ đề 4/18: Công việc – Nghề nghiệp (工作与职业)</t>
  </si>
  <si>
    <t>公司(gōngsī)-công ty; 经理(jīnglǐ)-giám đốc, quản lý; 同事(tóngshì)-đồng nghiệp; 工资(gōngzī)-lương; 面试(miànshì)-phỏng vấn; 害怕(hàipà)-sợ; 好像(hǎoxiàng)-giống như; 后来(hòulái)-sau đó; 或者(huòzhě)-hoặc; 几乎(jīhū)-gần như; 机会(jīhuì)-cơ hội</t>
  </si>
  <si>
    <t>Trạm 081</t>
  </si>
  <si>
    <t>招聘(zhāopìn)-tuyển dụng; 加班(jiābān)-làm thêm giờ; 经验(jīngyàn)-kinh nghiệm; 辛苦(xīnkǔ)-vất vả; 适合(shìhé)-phù hợp; 极(jí)-rất; 继续(jìxù)-tiếp tục; 既然(jìrán)-đã...thì; 简单(jiǎndān)-đơn giản; 健康(jiànkāng)-sức khỏe; 教(jiāo)-dạy</t>
  </si>
  <si>
    <t>Trạm 082</t>
  </si>
  <si>
    <t>Trạm 083</t>
  </si>
  <si>
    <t>Ôn tập tuần 12</t>
  </si>
  <si>
    <t>Trạm 084</t>
  </si>
  <si>
    <t>Tuần 13</t>
  </si>
  <si>
    <t>Chủ đề 5/18: Sinh hoạt hằng ngày – Thói quen (日常生活与习惯)</t>
  </si>
  <si>
    <t>习惯(xíguàn)-thói quen; 起床(qǐchuáng)-thức dậy; 按时(ànshí)-đúng giờ; 一般(yìbān)-thông thường; 打扫(dǎsǎo)-dọn dẹp; 接(jiē)-đón, nhận; 接着(jiēzhe)-tiếp theo; 节(jié)-tiết, lễ; 结果(jiéguǒ)-kết quả; 解释(jiěshì)-giải thích; 介绍(jièshào)-giới thiệu</t>
  </si>
  <si>
    <t>Trạm 085</t>
  </si>
  <si>
    <t>安排(ānpái)-sắp xếp; 整理(zhěnglǐ)-sắp xếp gọn gàng; 经常(jīngcháng)-thường xuyên; 懒(lǎn)-lười; 规律(guīlǜ)-điều độ, quy luật; 尽管(jǐnguǎn)-mặc dù; 经常(jīngcháng)-thường xuyên; 经过(jīngguò)-trải qua; 究竟(jiūjìng)-rốt cuộc; 具体(jùtǐ)-cụ thể; 决定(juédìng)-quyết định</t>
  </si>
  <si>
    <t>Trạm 086</t>
  </si>
  <si>
    <t>Trạm 087</t>
  </si>
  <si>
    <t>Chủ đề 6/18: Ăn uống – Nhà hàng – Khẩu vị (饮食与餐厅)</t>
  </si>
  <si>
    <t>味道(wèidào)-hương vị; 点菜(diǎncài)-gọi món; 服务员(fúwùyuán)-nhân viên phục vụ; 清淡(qīngdàn)-thanh đạm, ít gia vị; 辣(là)-cay; 离开(líkāi)-rời đi; 立刻(lìkè)-ngay lập tức; 利用(lìyòng)-lợi dụng; 了解(liǎojiě)-hiểu biết; 临(lín)-gần; 没有(méiyǒu)-không có</t>
  </si>
  <si>
    <t>Trạm 088</t>
  </si>
  <si>
    <t>拿手菜(náshǒucài)-món tủ, món sở trường; 结账(jiézhàng)-thanh toán; 新鲜(xīnxiān)-tươi; 合适(héshì)-phù hợp; 营养(yíngyǎng)-dinh dưỡng; 梦(mèng)-mơ; 面包(miànbāo)-bánh mì; 明白(míngbai)-hiểu rõ; 明年(míngnián)-năm sau; 农村(nóngcūn)-nông thôn; 努力(nǔlì)-cố gắng</t>
  </si>
  <si>
    <t>Trạm 089</t>
  </si>
  <si>
    <t>Trạm 090</t>
  </si>
  <si>
    <t>Ôn tập tuần 13</t>
  </si>
  <si>
    <t>Trạm 091</t>
  </si>
  <si>
    <t>Tuần 14</t>
  </si>
  <si>
    <t>Chủ đề 7/18: Mua sắm – Tiêu dùng – Giá cả (购物与消费)</t>
  </si>
  <si>
    <t>打折(dǎzhé)-giảm giá; 便宜(piányi)-rẻ; 贵(guì)-đắt; 价格(jiàgé)-giá cả; 质量(zhìliàng)-chất lượng; 其他(qítā)-khác; 其实(qíshí)-thực ra; 清楚(qīngchu)-rõ ràng; 情况(qíngkuàng)-tình hình; 秋天(qiūtiān)-mùa thu; 然后(ránhòu)-sau đó</t>
  </si>
  <si>
    <t>Trạm 092</t>
  </si>
  <si>
    <t>换(huàn)-đổi; 退(tuì)-trả lại; 尺码(chǐmǎ)-kích cỡ; 购物(gòuwù)-mua sắm; 合算(hésuàn)-hời, đáng giá; 认真(rènzhēn)-nghiêm túc; 如果(rúguǒ)-nếu; 生活(shēnghuó)-cuộc sống; 生意(shēngyì)-buôn bán; 世界(shìjiè)-thế giới; 舒服(shūfu)-thoải mái</t>
  </si>
  <si>
    <t>Trạm 093</t>
  </si>
  <si>
    <t>Trạm 094</t>
  </si>
  <si>
    <t>Chủ đề 8/18: Sức khỏe – Khám bệnh – Thể dục (健康与看病)</t>
  </si>
  <si>
    <t>感冒(gǎnmào)-cảm cúm; 发烧(fāshāo)-sốt; 咳嗽(késou)-ho; 医院(yīyuàn)-bệnh viện; 打针(dǎzhēn)-tiêm; 体育(tǐyù)-thể dục; 听说(tīngshuō)-nghe nói; 完成(wánchéng)-hoàn thành; 文化(wénhuà)-văn hóa; 习惯(xíguàn)-thói quen; 相信(xiāngxìn)-tin tưởng</t>
  </si>
  <si>
    <t>Trạm 095</t>
  </si>
  <si>
    <t>吃药(chīyào)-uống thuốc; 锻炼(duànliàn)-rèn luyện, tập thể dục; 休息(xiūxi)-nghỉ ngơi; 身体(shēntǐ)-cơ thể, sức khỏe; 恢复(huīfù)-hồi phục; 新闻(xīnwén)-tin tức; 信封(xìnfēng)-phong bì; 羡慕(xiànmù)-ngưỡng mộ; 香蕉(xiāngjiāo)-chuối; 检查(jiǎnchá)-kiểm tra</t>
  </si>
  <si>
    <t>Từ vựng 6-10/10 + Hội thoại mẫu + Nhiệm vụ + 4 dạng Bài tập + Đáp án</t>
  </si>
  <si>
    <t>Nhiệm vụ thực hành: đóng vai / tự sáng tạo hội thoại theo gợi ý</t>
  </si>
  <si>
    <t>Làm đủ 4 dạng bài tập (sắp xếp hội thoại, điền từ, dịch câu, tự luyện) + tự đối chiếu đáp án</t>
  </si>
  <si>
    <t>Trạm 096</t>
  </si>
  <si>
    <t>Chủ đề 9/18: Thời tiết – Các mùa (天气与季节)</t>
  </si>
  <si>
    <t>气温(qìwēn)-nhiệt độ; 刮风(guāfēng)-có gió; 下雪(xiàxuě)-có tuyết rơi; 季节(jìjié)-mùa; 凉快(liángkuai)-mát mẻ; 街道(jiēdào)-đường phố; 举行(jǔxíng)-tổ chức, cử hành; 竞争(jìngzhēng)-cạnh tranh; 科学(kēxué)-khoa học; 可惜(kěxī)-tiếc là</t>
  </si>
  <si>
    <t>Trạm 097</t>
  </si>
  <si>
    <t>Ôn tập tuần 14</t>
  </si>
  <si>
    <t>Trạm 098</t>
  </si>
  <si>
    <t>Tuần 15</t>
  </si>
  <si>
    <t>暖和(nuǎnhuo)-ấm áp; 天气预报(tiānqì yùbào)-dự báo thời tiết; 潮湿(cháoshī)-ẩm ướt; 温度(wēndù)-nhiệt độ; 带(dài)-mang theo; 安心(ānxīn)-từ Yên tâm; 安排(ānpái)-từ Sắp xếp, bố trí; 安装(ānzhuāng)-từ Lắp đặt, cài đặt; 按(àn)-từ Ấn, bấm, nhấn; 按照(ànzhào)-từ Theo, dựa theo</t>
  </si>
  <si>
    <t>Trạm 099</t>
  </si>
  <si>
    <t>Chủ đề 10/18: Giao thông – Hỏi đường – Đi lại (交通与问路)</t>
  </si>
  <si>
    <t>地铁(dìtiě)-tàu điện ngầm; 公共汽车(gōnggòng qìchē)-xe buýt; 堵车(dǔchē)-tắc đường; 方向(fāngxiàng)-phương hướng; 拐弯(guǎiwān)-rẽ; 把(bǎ)-từ Đem, lấy; 把握(bǎwò)-từ Nắm chắc, nắm bắt; 白(bái)-từ Uổng công, vô ích; 白菜(báicài)-từ Cải trắng; 班级(bānjí)-từ Lớp học</t>
  </si>
  <si>
    <t>Trạm 100</t>
  </si>
  <si>
    <t>路口(lùkǒu)-ngã tư, giao lộ; 直走(zhízǒu)-đi thẳng; 站(zhàn)-trạm, bến; 迷路(mílù)-lạc đường; 方便(fāngbiàn)-tiện lợi; 搬(bān)-từ Chuyển, dời; 搬家(bānjiā)-từ Chuyển nhà; 板(bǎn)-từ Tấm gỗ, miếng ván; 办理(bànlǐ)-từ Xử lý, làm thủ tục; 保(bǎo)-từ Bảo vệ, giữ gìn</t>
  </si>
  <si>
    <t>Trạm 101</t>
  </si>
  <si>
    <t>Chủ đề 11/18: Du lịch – Khách sạn – Tham quan (旅游与住宿)</t>
  </si>
  <si>
    <t>旅行(lǚxíng)-du lịch; 订(dìng)-đặt (phòng, vé); 房间(fángjiān)-phòng; 景点(jǐngdiǎn)-điểm tham quan; 护照(hùzhào)-hộ chiếu; 保安(bǎoān)-từ Bảo vệ (người); 保持(bǎochí)-từ Giữ gìn, duy trì; 保存(bǎocún)-từ Bảo tồn, lưu giữ; 保护(bǎohù)-từ Bảo vệ; 保留(bǎoliú)-từ Giữ lại</t>
  </si>
  <si>
    <t>Trạm 102</t>
  </si>
  <si>
    <t>签证(qiānzhèng)-visa; 行李(xínglǐ)-hành lý; 导游(dǎoyóu)-hướng dẫn viên; 风景(fēngjǐng)-phong cảnh; 难忘(nánwàng)-khó quên; 保险(bǎoxiǎn)-từ Bảo hiểm; 保证(bǎozhèng)-từ Cam đoan, đảm bảo; 报(bào)-từ Báo, giấy báo; 报到(bàodào)-từ Báo danh có mặt; 报道(bàodào)-từ Đưa tin</t>
  </si>
  <si>
    <t>Trạm 103</t>
  </si>
  <si>
    <t>Chủ đề 12/18: Điện thoại – Hẹn gặp – Lịch trình (打电话与约会)</t>
  </si>
  <si>
    <t>打电话(dǎ diànhuà)-gọi điện thoại; 约(yuē)-hẹn; 方便(fāngbiàn)-tiện, thuận tiện; 改(gǎi)-thay đổi; 取消(qǔxiāo)-hủy bỏ; 报告(bàogào)-từ Báo cáo; 背(bēi)-từ Mang, đeo (trên lưng); 北部(běibù)-từ Khu vực phía bắc; 背后(bèihòu)-từ Phía sau; 被(bèi)-từ Bị (dùng trong câu bị động)</t>
  </si>
  <si>
    <t>Trạm 104</t>
  </si>
  <si>
    <t>Ôn tập tuần 15</t>
  </si>
  <si>
    <t>Trạm 105</t>
  </si>
  <si>
    <t>Tuần 16</t>
  </si>
  <si>
    <t>留言(liúyán)-để lại lời nhắn; 准时(zhǔnshí)-đúng giờ; 迟到(chídào)-đến muộn; 联系(liánxì)-liên lạc; 确认(quèrèn)-xác nhận; 被子(bèizi)-từ Chăn; 本来(běnlái)-từ Vốn dĩ, ban đầu; 本领(běnlǐng)-từ Bản lĩnh, khả năng; 本事(běnshi)-từ Tài năng, năng lực; 比较(bǐjiào)-từ Khá, tương đối</t>
  </si>
  <si>
    <t>Trạm 106</t>
  </si>
  <si>
    <t>Chủ đề 13/18: Sở thích – Giải trí – Thể thao (爱好、娱乐与运动)</t>
  </si>
  <si>
    <t>运动(yùndòng)-vận động, thể thao; 篮球(lánqiú)-bóng rổ; 游泳(yóuyǒng)-bơi lội; 音乐会(yīnyuèhuì)-buổi hòa nhạc; 电影院(diànyǐngyuàn)-rạp chiếu phim; 比例(bǐlì)-từ Tỷ lệ; 比赛(bǐsài)-từ Thi đấu, cuộc thi; 必然(bìrán)-từ Chắc chắn, tất nhiên; 必要(bìyào)-từ Cần thiết; 变为(biànwéi)-từ Trở thành</t>
  </si>
  <si>
    <t>Trạm 107</t>
  </si>
  <si>
    <t>空闲(kòngxián)-rảnh rỗi; 有意思(yǒu yìsi)-thú vị; 表演(biǎoyǎn)-biểu diễn; 比赛(bǐsài)-thi đấu; 坚持(jiānchí)-kiên trì; 标题(biāotí)-từ Tiêu đề; 标准(biāozhǔn)-từ Tiêu chuẩn; 表达(biǎodá)-từ Biểu đạt; 表格(biǎogé)-từ Bảng biểu, mẫu đơn; 表面(biǎomiàn)-từ Bề mặt</t>
  </si>
  <si>
    <t>Trạm 108</t>
  </si>
  <si>
    <t>Chủ đề 14/18: Cảm xúc – Tính cách – Giao tiếp xã hội (情感、性格与社交礼仪)</t>
  </si>
  <si>
    <t>高兴(gāoxìng)-vui vẻ; 难过(nánguò)-buồn; 紧张(jǐnzhāng)-căng thẳng, hồi hộp; 生气(shēngqì)-tức giận; 安慰(ānwèi)-an ủi; 表明(biǎomíng)-từ Thể hiện, bày tỏ; 表现(biǎoxiàn)-từ Biểu hiện; 并(bìng)-từ Và, hơn nữa, mà còn; 并且(bìngqiě)-từ Đồng thời, hơn nữa; 播出(bōchū)-từ Phát sóng</t>
  </si>
  <si>
    <t>Trạm 109</t>
  </si>
  <si>
    <t>道歉(dàoqiàn)-xin lỗi; 原谅(yuánliàng)-tha thứ; 拒绝(jùjué)-từ chối; 羡慕(xiànmù)-ngưỡng mộ; 理解(lǐjiě)-thấu hiểu; 播放(bōfàng)-từ Phát (video, nhạc); 不必(búbì)-từ Không cần thiết; 不断(búduàn)-từ Liên tục; 不论(búlùn)-từ Bất kể; 补(bǔ)-từ Bổ sung</t>
  </si>
  <si>
    <t>Trạm 110</t>
  </si>
  <si>
    <t>Chủ đề 15/18: Nhà ở – Môi trường sống – Hàng xóm (住房与生活环境)</t>
  </si>
  <si>
    <t>房租(fángzū)-tiền thuê nhà; 家具(jiājù)-đồ nội thất; 安静(ānjìng)-yên tĩnh; 附近(fùjìn)-gần đây; 邻居(línjū)-hàng xóm; 补充(bǔchōng)-từ Bổ sung; 不安(bùān)-từ Bất an; 不得不(bùdébù)-từ Đành phải; 不光(bùguāng)-từ Không chỉ; 不仅(bùjǐn)-từ Không những</t>
  </si>
  <si>
    <t>Trạm 111</t>
  </si>
  <si>
    <t>Ôn tập tuần 16</t>
  </si>
  <si>
    <t>Trạm 112</t>
  </si>
  <si>
    <t>Tuần 17</t>
  </si>
  <si>
    <t>搬家(bānjiā)-chuyển nhà; 方便(fāngbiàn)-thuận tiện; 楼(lóu)-tầng, tòa nhà; 环境(huánjìng)-môi trường; 宽敞(kuānchang)-rộng rãi; 布(bù)-từ Vải; 步(bù)-từ Bước; 部(bù)-từ Bộ phận; 部门(bùmén)-từ Phòng ban; 部长(bùzhǎng)-từ Bộ trưởng</t>
  </si>
  <si>
    <t>Trạm 113</t>
  </si>
  <si>
    <t>Chủ đề 16/18: Lễ hội – Phong tục – Văn hóa Trung Quốc (节日、风俗与中国文化)</t>
  </si>
  <si>
    <t>春节(Chūnjié)-Tết Nguyên đán; 中秋节(Zhōngqiūjié)-Tết Trung thu; 习俗(xísú)-phong tục; 传统(chuántǒng)-truyền thống; 庆祝(qìngzhù)-chúc mừng, ăn mừng; 才能(cáinéng)-từ Tài năng; 采取(cǎiqǔ)-từ Áp dụng, thực hiện; 采用(cǎiyòng)-từ Sử dụng, chọn dùng; 彩色(cǎisè)-từ Màu sắc; 曾经(céngjīng)-từ Từng, đã từng</t>
  </si>
  <si>
    <t>Trạm 114</t>
  </si>
  <si>
    <t>红包(hóngbāo)-phong bao lì xì; 团圆(tuányuán)-đoàn viên; 祝福(zhùfú)-chúc phúc; 热闹(rènao)-náo nhiệt; 文化(wénhuà)-văn hóa; 产生(chǎnshēng)-từ Sinh ra, tạo ra; 长城(Chángchéng)-từ riêng Vạn lý trường thành; 长处(chángchù)-từ Điểm mạnh; 长期(chángqī)-từ Thời gian dài, dài hạn; 厂(chǎng)-từ Nhà máy</t>
  </si>
  <si>
    <t>Trạm 115</t>
  </si>
  <si>
    <t>Chủ đề 17/18: Thành phố – Phương hướng – Mô tả địa điểm (城市与方位描述)</t>
  </si>
  <si>
    <t>城市(chéngshì)-thành phố; 农村(nóngcūn)-nông thôn; 安静(ānjìng)-yên tĩnh; 热闹(rènao)-náo nhiệt; 人口(rénkǒu)-dân số; 场合(chǎnghé)-từ Hoàn cảnh, dịp; 场所(chǎngsuǒ)-từ Nơi chốn; 超级(chāojí)-từ Siêu, cực kỳ; 朝(cháo)-từ Hướng về; 吵(chǎo)-từ Cãi nhau</t>
  </si>
  <si>
    <t>Trạm 116</t>
  </si>
  <si>
    <t>位于(wèiyú)-nằm ở, tọa lạc; 附近(fùjìn)-gần đó; 特点(tèdiǎn)-đặc điểm; 中心(zhōngxīn)-trung tâm; 方便(fāngbiàn)-tiện lợi; 吵架(chǎojià)-từ Cãi nhau; 衬衫(chènshān)-từ Áo sơ mi; 衬衣(chènyī)-từ Áo sơ mi; 称为(chēngwéi)-từ Gọi là; 成功(chénggōng)-từ Thành công</t>
  </si>
  <si>
    <t>Trạm 117</t>
  </si>
  <si>
    <t>Chủ đề 18/18: Công nghệ – Mạng – Đời sống số cơ bản (科技与网络生活)</t>
  </si>
  <si>
    <t>手机(shǒujī)-điện thoại di động; 网络(wǎngluò)-mạng internet; 软件(ruǎnjiàn)-phần mềm, ứng dụng; 下载(xiàzài)-tải xuống; 发消息(fā xiāoxi)-gửi tin nhắn; 成果(chéngguǒ)-từ Thành quả; 成就(chéngjiù)-từ Thành tựu; 成立(chénglì)-từ Thành lập; 成熟(chéngshú)-từ Trưởng thành, chín chắn; 成员(chéngyuán)-từ Thành viên</t>
  </si>
  <si>
    <t>Trạm 118</t>
  </si>
  <si>
    <t>Ôn tập tuần 17</t>
  </si>
  <si>
    <t>Trạm 119</t>
  </si>
  <si>
    <t>Tuần 18</t>
  </si>
  <si>
    <t>视频(shìpín)-video, gọi video; 上网(shàngwǎng)-lên mạng; 密码(mìmǎ)-mật khẩu; 联系人(liánxìrén)-danh bạ; 方便(fāngbiàn)-tiện lợi; 成长(chéngzhǎng)-từ Trưởng thành, lớn lên; 城(chéng)-từ Thành phố; 程度(chéngdù)-từ Mức độ; 持续(chíxù)-từ Tiếp tục, kéo dài; 充满(chōngmǎn)-từ Tràn đầy</t>
  </si>
  <si>
    <t>Trạm 120</t>
  </si>
  <si>
    <t>ĐỐI CHIẾU DỮ LIỆU THẬT (PandaHán Pro) VỚI CHUẨN HSK 3.0 CHÍNH THỨC</t>
  </si>
  <si>
    <t>Bậc</t>
  </si>
  <si>
    <t>Số từ BẠN ĐÃ CÓ (tài liệu thật)</t>
  </si>
  <si>
    <t>Số từ CHUẨN HSK 3.0 yêu cầu</t>
  </si>
  <si>
    <t>Còn THIẾU</t>
  </si>
  <si>
    <t>Tỷ lệ đã có</t>
  </si>
  <si>
    <t>Bậc 1 (từ mới của riêng bậc)</t>
  </si>
  <si>
    <t>Bậc 2 (từ mới của riêng bậc)</t>
  </si>
  <si>
    <t>Bậc 3 (từ mới của riêng bậc)</t>
  </si>
  <si>
    <t>TỔNG (lũy kế hết Bậc 3)</t>
  </si>
  <si>
    <t>Ghi chú quan trọng</t>
  </si>
  <si>
    <t>Tài liệu GỐC của bạn (391 từ HSK1-2-3 tam ngữ + 180 từ trong 18 chủ đề PandaHán = 571 từ) có CHẤT LƯỢNG rất cao:</t>
  </si>
  <si>
    <t>mỗi từ đều có chiết tự/bộ thủ, văn hóa, cụm từ, ví dụ 3 ngôn ngữ - vượt xa một danh sách từ vựng thông thường.</t>
  </si>
  <si>
    <t>Đã BỔ SUNG thêm 267 từ (HSK1 +74, HSK2 +98, HSK3 +95) từ nguồn cge.edu.vn (đối chiếu chuẩn GF0025-2021, đã loại trùng),</t>
  </si>
  <si>
    <t>nâng tổng số từ thật lên 838/2.245 (~37%) — tăng từ mức 25% ban đầu. Các từ bổ sung có ghi chú nguồn riêng ở sheet vocab.</t>
  </si>
  <si>
    <t>Phần còn thiếu (~1.407 từ) có thể tải ĐẦY ĐỦ miễn phí tại sheet 'Link tải đầy đủ 2245 từ' — đây là các link Google Sheets</t>
  </si>
  <si>
    <t>chính thức chứa TOÀN BỘ 500/772/973 từ, đã kiểm chứng khớp với đúng chuẩn GF0025-2021. Nhập tiếp vào PandaHán Pro là xong.</t>
  </si>
  <si>
    <t>Tiến độ hoàn thành (đếm từ sheet Ke hoach 120 ngay)</t>
  </si>
  <si>
    <t>Số ngày 'Hoàn thành'</t>
  </si>
  <si>
    <t>Số ngày 'Đang làm'</t>
  </si>
  <si>
    <t>Số ngày 'Chưa'</t>
  </si>
  <si>
    <t>STT</t>
  </si>
  <si>
    <t>Ngày học</t>
  </si>
  <si>
    <t>Chữ Hán</t>
  </si>
  <si>
    <t>Pinyin</t>
  </si>
  <si>
    <t>Từ loại</t>
  </si>
  <si>
    <t>Nghĩa tiếng Việt</t>
  </si>
  <si>
    <t>爱</t>
  </si>
  <si>
    <t>ài</t>
  </si>
  <si>
    <t>Động từ</t>
  </si>
  <si>
    <t>yêu</t>
  </si>
  <si>
    <t>八</t>
  </si>
  <si>
    <t>bā</t>
  </si>
  <si>
    <t>tám</t>
  </si>
  <si>
    <t>爸爸</t>
  </si>
  <si>
    <t>bàba</t>
  </si>
  <si>
    <t>Danh từ</t>
  </si>
  <si>
    <t>bố</t>
  </si>
  <si>
    <t>杯子</t>
  </si>
  <si>
    <t>bēizi</t>
  </si>
  <si>
    <t>cái cốc</t>
  </si>
  <si>
    <t>北京</t>
  </si>
  <si>
    <t>běijīng</t>
  </si>
  <si>
    <t>Danh từ riêng</t>
  </si>
  <si>
    <t>Bắc Kinh</t>
  </si>
  <si>
    <t>本</t>
  </si>
  <si>
    <t>běn</t>
  </si>
  <si>
    <t>Lượng từ</t>
  </si>
  <si>
    <t>cuốn, quyển</t>
  </si>
  <si>
    <t>不</t>
  </si>
  <si>
    <t>bù</t>
  </si>
  <si>
    <t>Phó từ</t>
  </si>
  <si>
    <t>không</t>
  </si>
  <si>
    <t>菜</t>
  </si>
  <si>
    <t>cài</t>
  </si>
  <si>
    <t>rau, món ăn</t>
  </si>
  <si>
    <t>茶</t>
  </si>
  <si>
    <t>chá</t>
  </si>
  <si>
    <t>trà</t>
  </si>
  <si>
    <t>吃</t>
  </si>
  <si>
    <t>chī</t>
  </si>
  <si>
    <t>ăn</t>
  </si>
  <si>
    <t>出租车</t>
  </si>
  <si>
    <t>chūzūchē</t>
  </si>
  <si>
    <t>xe taxi</t>
  </si>
  <si>
    <t>大</t>
  </si>
  <si>
    <t>dà</t>
  </si>
  <si>
    <t>Tính từ</t>
  </si>
  <si>
    <t>to, lớn</t>
  </si>
  <si>
    <t>的</t>
  </si>
  <si>
    <t>de</t>
  </si>
  <si>
    <t>Trợ từ</t>
  </si>
  <si>
    <t>của</t>
  </si>
  <si>
    <t>点</t>
  </si>
  <si>
    <t>diǎn</t>
  </si>
  <si>
    <t>giờ, điểm</t>
  </si>
  <si>
    <t>电脑</t>
  </si>
  <si>
    <t>diànnǎo</t>
  </si>
  <si>
    <t>máy tính</t>
  </si>
  <si>
    <t>电视</t>
  </si>
  <si>
    <t>diànshì</t>
  </si>
  <si>
    <t>tivi</t>
  </si>
  <si>
    <t>电影</t>
  </si>
  <si>
    <t>diànyǐng</t>
  </si>
  <si>
    <t>phim</t>
  </si>
  <si>
    <t>东西</t>
  </si>
  <si>
    <t>dōngxi</t>
  </si>
  <si>
    <t>đồ vật</t>
  </si>
  <si>
    <t>都</t>
  </si>
  <si>
    <t>dōu</t>
  </si>
  <si>
    <t>đều</t>
  </si>
  <si>
    <t>对</t>
  </si>
  <si>
    <t>duì</t>
  </si>
  <si>
    <t>đúng, với</t>
  </si>
  <si>
    <t>多</t>
  </si>
  <si>
    <t>duō</t>
  </si>
  <si>
    <t>nhiều</t>
  </si>
  <si>
    <t>多少</t>
  </si>
  <si>
    <t>duōshao</t>
  </si>
  <si>
    <t>Đại từ</t>
  </si>
  <si>
    <t>bao nhiêu</t>
  </si>
  <si>
    <t>儿子</t>
  </si>
  <si>
    <t>érzi</t>
  </si>
  <si>
    <t>con trai</t>
  </si>
  <si>
    <t>二</t>
  </si>
  <si>
    <t>èr</t>
  </si>
  <si>
    <t>hai</t>
  </si>
  <si>
    <t>饭店</t>
  </si>
  <si>
    <t>fàndiàn</t>
  </si>
  <si>
    <t>nhà hàng</t>
  </si>
  <si>
    <t>飞机</t>
  </si>
  <si>
    <t>fēijī</t>
  </si>
  <si>
    <t>máy bay</t>
  </si>
  <si>
    <t>分钟</t>
  </si>
  <si>
    <t>fēnzhōng</t>
  </si>
  <si>
    <t>phút</t>
  </si>
  <si>
    <t>高兴</t>
  </si>
  <si>
    <t>gāoxìng</t>
  </si>
  <si>
    <t>vui mừng</t>
  </si>
  <si>
    <t>个</t>
  </si>
  <si>
    <t>gè</t>
  </si>
  <si>
    <t>cái (đơn vị)</t>
  </si>
  <si>
    <t>给</t>
  </si>
  <si>
    <t>gěi</t>
  </si>
  <si>
    <t>cho</t>
  </si>
  <si>
    <t>跟</t>
  </si>
  <si>
    <t>gēn</t>
  </si>
  <si>
    <t>Giới từ</t>
  </si>
  <si>
    <t>với, theo</t>
  </si>
  <si>
    <t>工作</t>
  </si>
  <si>
    <t>gōngzuò</t>
  </si>
  <si>
    <t>công việc</t>
  </si>
  <si>
    <t>国</t>
  </si>
  <si>
    <t>guó</t>
  </si>
  <si>
    <t>nước, quốc gia</t>
  </si>
  <si>
    <t>孩子</t>
  </si>
  <si>
    <t>háizi</t>
  </si>
  <si>
    <t>trẻ con</t>
  </si>
  <si>
    <t>还</t>
  </si>
  <si>
    <t>hái</t>
  </si>
  <si>
    <t>vẫn, còn</t>
  </si>
  <si>
    <t>好</t>
  </si>
  <si>
    <t>hǎo</t>
  </si>
  <si>
    <t>tốt</t>
  </si>
  <si>
    <t>喝</t>
  </si>
  <si>
    <t>hē</t>
  </si>
  <si>
    <t>uống</t>
  </si>
  <si>
    <t>和</t>
  </si>
  <si>
    <t>hé</t>
  </si>
  <si>
    <t>Liên từ</t>
  </si>
  <si>
    <t>và</t>
  </si>
  <si>
    <t>很</t>
  </si>
  <si>
    <t>hěn</t>
  </si>
  <si>
    <t>rất</t>
  </si>
  <si>
    <t>红</t>
  </si>
  <si>
    <t>hóng</t>
  </si>
  <si>
    <t>màu đỏ</t>
  </si>
  <si>
    <t>后</t>
  </si>
  <si>
    <t>hòu</t>
  </si>
  <si>
    <t>sau, hậu</t>
  </si>
  <si>
    <t>会</t>
  </si>
  <si>
    <t>huì</t>
  </si>
  <si>
    <t>sẽ, biết</t>
  </si>
  <si>
    <t>家</t>
  </si>
  <si>
    <t>jiā</t>
  </si>
  <si>
    <t>nhà, gia đình</t>
  </si>
  <si>
    <t>叫</t>
  </si>
  <si>
    <t>jiào</t>
  </si>
  <si>
    <t>gọi, tên là</t>
  </si>
  <si>
    <t>今天</t>
  </si>
  <si>
    <t>jīntiān</t>
  </si>
  <si>
    <t>hôm nay</t>
  </si>
  <si>
    <t>九</t>
  </si>
  <si>
    <t>jiǔ</t>
  </si>
  <si>
    <t>chín</t>
  </si>
  <si>
    <t>开</t>
  </si>
  <si>
    <t>kāi</t>
  </si>
  <si>
    <t>mở</t>
  </si>
  <si>
    <t>看</t>
  </si>
  <si>
    <t>kàn</t>
  </si>
  <si>
    <t>nhìn</t>
  </si>
  <si>
    <t>看见</t>
  </si>
  <si>
    <t>kànjiàn</t>
  </si>
  <si>
    <t>nhìn thấy</t>
  </si>
  <si>
    <t>块</t>
  </si>
  <si>
    <t>kuài</t>
  </si>
  <si>
    <t>đồng, miếng</t>
  </si>
  <si>
    <t>来</t>
  </si>
  <si>
    <t>lái</t>
  </si>
  <si>
    <t>đến</t>
  </si>
  <si>
    <t>老师</t>
  </si>
  <si>
    <t>lǎoshī</t>
  </si>
  <si>
    <t>giáo viên</t>
  </si>
  <si>
    <t>了</t>
  </si>
  <si>
    <t>le</t>
  </si>
  <si>
    <t>đã, rồi</t>
  </si>
  <si>
    <t>冷</t>
  </si>
  <si>
    <t>lěng</t>
  </si>
  <si>
    <t>lạnh</t>
  </si>
  <si>
    <t>里</t>
  </si>
  <si>
    <t>lǐ</t>
  </si>
  <si>
    <t>trong</t>
  </si>
  <si>
    <t>零</t>
  </si>
  <si>
    <t>líng</t>
  </si>
  <si>
    <t>số không</t>
  </si>
  <si>
    <t>六</t>
  </si>
  <si>
    <t>liù</t>
  </si>
  <si>
    <t>sáu</t>
  </si>
  <si>
    <t>妈妈</t>
  </si>
  <si>
    <t>māma</t>
  </si>
  <si>
    <t>mẹ</t>
  </si>
  <si>
    <t>吗</t>
  </si>
  <si>
    <t>ma</t>
  </si>
  <si>
    <t>(câu hỏi)</t>
  </si>
  <si>
    <t>买</t>
  </si>
  <si>
    <t>mǎi</t>
  </si>
  <si>
    <t>mua</t>
  </si>
  <si>
    <t>卖</t>
  </si>
  <si>
    <t>mài</t>
  </si>
  <si>
    <t>bán</t>
  </si>
  <si>
    <t>没</t>
  </si>
  <si>
    <t>méi</t>
  </si>
  <si>
    <t>không, chưa</t>
  </si>
  <si>
    <t>没关系</t>
  </si>
  <si>
    <t>méiguānxi</t>
  </si>
  <si>
    <t>?/?/?</t>
  </si>
  <si>
    <t>không sao</t>
  </si>
  <si>
    <t>米饭</t>
  </si>
  <si>
    <t>mǐfàn</t>
  </si>
  <si>
    <t>cơm</t>
  </si>
  <si>
    <t>名字</t>
  </si>
  <si>
    <t>míngzi</t>
  </si>
  <si>
    <t>tên</t>
  </si>
  <si>
    <t>明天</t>
  </si>
  <si>
    <t>míngtiān</t>
  </si>
  <si>
    <t>ngày mai</t>
  </si>
  <si>
    <t>哪</t>
  </si>
  <si>
    <t>nǎ</t>
  </si>
  <si>
    <t>nào</t>
  </si>
  <si>
    <t>那</t>
  </si>
  <si>
    <t>nà</t>
  </si>
  <si>
    <t>đó, kia</t>
  </si>
  <si>
    <t>呢</t>
  </si>
  <si>
    <t>ne</t>
  </si>
  <si>
    <t>能</t>
  </si>
  <si>
    <t>néng</t>
  </si>
  <si>
    <t>có thể</t>
  </si>
  <si>
    <t>你</t>
  </si>
  <si>
    <t>nǐ</t>
  </si>
  <si>
    <t>bạn</t>
  </si>
  <si>
    <t>年</t>
  </si>
  <si>
    <t>nián</t>
  </si>
  <si>
    <t>năm</t>
  </si>
  <si>
    <t>女儿</t>
  </si>
  <si>
    <t>nǚ'ér</t>
  </si>
  <si>
    <t>con gái</t>
  </si>
  <si>
    <t>朋友</t>
  </si>
  <si>
    <t>péngyou</t>
  </si>
  <si>
    <t>bạn bè</t>
  </si>
  <si>
    <t>漂亮</t>
  </si>
  <si>
    <t>piàoliang</t>
  </si>
  <si>
    <t>xinh đẹp</t>
  </si>
  <si>
    <t>苹果</t>
  </si>
  <si>
    <t>píngguǒ</t>
  </si>
  <si>
    <t>quả táo</t>
  </si>
  <si>
    <t>七</t>
  </si>
  <si>
    <t>qī</t>
  </si>
  <si>
    <t>bảy</t>
  </si>
  <si>
    <t>钱</t>
  </si>
  <si>
    <t>qián</t>
  </si>
  <si>
    <t>tiền</t>
  </si>
  <si>
    <t>前</t>
  </si>
  <si>
    <t>trước</t>
  </si>
  <si>
    <t>请</t>
  </si>
  <si>
    <t>qǐng</t>
  </si>
  <si>
    <t>mời, xin</t>
  </si>
  <si>
    <t>去</t>
  </si>
  <si>
    <t>qù</t>
  </si>
  <si>
    <t>đi</t>
  </si>
  <si>
    <t>热</t>
  </si>
  <si>
    <t>rè</t>
  </si>
  <si>
    <t>nóng</t>
  </si>
  <si>
    <t>人</t>
  </si>
  <si>
    <t>rén</t>
  </si>
  <si>
    <t>người</t>
  </si>
  <si>
    <t>认识</t>
  </si>
  <si>
    <t>rènshi</t>
  </si>
  <si>
    <t>quen biết</t>
  </si>
  <si>
    <t>三</t>
  </si>
  <si>
    <t>sān</t>
  </si>
  <si>
    <t>ba</t>
  </si>
  <si>
    <t>商店</t>
  </si>
  <si>
    <t>shāngdiàn</t>
  </si>
  <si>
    <t>cửa hàng</t>
  </si>
  <si>
    <t>上</t>
  </si>
  <si>
    <t>shàng</t>
  </si>
  <si>
    <t>trên</t>
  </si>
  <si>
    <t>少</t>
  </si>
  <si>
    <t>shǎo</t>
  </si>
  <si>
    <t>ít</t>
  </si>
  <si>
    <t>谁</t>
  </si>
  <si>
    <t>shéi</t>
  </si>
  <si>
    <t>ai</t>
  </si>
  <si>
    <t>什么</t>
  </si>
  <si>
    <t>shénme</t>
  </si>
  <si>
    <t>gì</t>
  </si>
  <si>
    <t>十</t>
  </si>
  <si>
    <t>shí</t>
  </si>
  <si>
    <t>mười</t>
  </si>
  <si>
    <t>时候</t>
  </si>
  <si>
    <t>shíhou</t>
  </si>
  <si>
    <t>lúc</t>
  </si>
  <si>
    <t>是</t>
  </si>
  <si>
    <t>shì</t>
  </si>
  <si>
    <t>là</t>
  </si>
  <si>
    <t>书</t>
  </si>
  <si>
    <t>shū</t>
  </si>
  <si>
    <t>sách</t>
  </si>
  <si>
    <t>水</t>
  </si>
  <si>
    <t>shuǐ</t>
  </si>
  <si>
    <t>nước</t>
  </si>
  <si>
    <t>水果</t>
  </si>
  <si>
    <t>shuǐguǒ</t>
  </si>
  <si>
    <t>hoa quả</t>
  </si>
  <si>
    <t>睡觉</t>
  </si>
  <si>
    <t>shuìjiào</t>
  </si>
  <si>
    <t>ngủ</t>
  </si>
  <si>
    <t>说</t>
  </si>
  <si>
    <t>shuō</t>
  </si>
  <si>
    <t>nói</t>
  </si>
  <si>
    <t>四</t>
  </si>
  <si>
    <t>sì</t>
  </si>
  <si>
    <t>bốn</t>
  </si>
  <si>
    <t>岁</t>
  </si>
  <si>
    <t>suì</t>
  </si>
  <si>
    <t>tuổi</t>
  </si>
  <si>
    <t>他</t>
  </si>
  <si>
    <t>tā</t>
  </si>
  <si>
    <t>anh ấy</t>
  </si>
  <si>
    <t>她</t>
  </si>
  <si>
    <t>cô ấy</t>
  </si>
  <si>
    <t>太</t>
  </si>
  <si>
    <t>tài</t>
  </si>
  <si>
    <t>quá</t>
  </si>
  <si>
    <t>天气</t>
  </si>
  <si>
    <t>tiānqì</t>
  </si>
  <si>
    <t>thời tiết</t>
  </si>
  <si>
    <t>听</t>
  </si>
  <si>
    <t>tīng</t>
  </si>
  <si>
    <t>nghe</t>
  </si>
  <si>
    <t>同学</t>
  </si>
  <si>
    <t>tóngxué</t>
  </si>
  <si>
    <t>bạn học</t>
  </si>
  <si>
    <t>喂</t>
  </si>
  <si>
    <t>wèi</t>
  </si>
  <si>
    <t>Thán từ</t>
  </si>
  <si>
    <t>a lô</t>
  </si>
  <si>
    <t>我</t>
  </si>
  <si>
    <t>wǒ</t>
  </si>
  <si>
    <t>tôi</t>
  </si>
  <si>
    <t>我们</t>
  </si>
  <si>
    <t>wǒmen</t>
  </si>
  <si>
    <t>chúng tôi</t>
  </si>
  <si>
    <t>五</t>
  </si>
  <si>
    <t>wǔ</t>
  </si>
  <si>
    <t>năm (số 5)</t>
  </si>
  <si>
    <t>喜欢</t>
  </si>
  <si>
    <t>xǐhuān</t>
  </si>
  <si>
    <t>thích</t>
  </si>
  <si>
    <t>下</t>
  </si>
  <si>
    <t>xià</t>
  </si>
  <si>
    <t>dưới</t>
  </si>
  <si>
    <t>先生</t>
  </si>
  <si>
    <t>xiānsheng</t>
  </si>
  <si>
    <t>ông, ngài</t>
  </si>
  <si>
    <t>现在</t>
  </si>
  <si>
    <t>xiànzài</t>
  </si>
  <si>
    <t>bây giờ</t>
  </si>
  <si>
    <t>想</t>
  </si>
  <si>
    <t>xiǎng</t>
  </si>
  <si>
    <t>muốn, nghĩ</t>
  </si>
  <si>
    <t>小</t>
  </si>
  <si>
    <t>xiǎo</t>
  </si>
  <si>
    <t>nhỏ</t>
  </si>
  <si>
    <t>小姐</t>
  </si>
  <si>
    <t>xiǎojiě</t>
  </si>
  <si>
    <t>cô, tiểu thư</t>
  </si>
  <si>
    <t>小时</t>
  </si>
  <si>
    <t>xiǎoshí</t>
  </si>
  <si>
    <t>giờ, tiếng</t>
  </si>
  <si>
    <t>写</t>
  </si>
  <si>
    <t>xiě</t>
  </si>
  <si>
    <t>viết</t>
  </si>
  <si>
    <t>谢谢</t>
  </si>
  <si>
    <t>xièxie</t>
  </si>
  <si>
    <t>cảm ơn</t>
  </si>
  <si>
    <t>星期</t>
  </si>
  <si>
    <t>xīngqī</t>
  </si>
  <si>
    <t>tuần, thứ</t>
  </si>
  <si>
    <t>学生</t>
  </si>
  <si>
    <t>xuéshēng</t>
  </si>
  <si>
    <t>học sinh</t>
  </si>
  <si>
    <t>学习</t>
  </si>
  <si>
    <t>xuéxí</t>
  </si>
  <si>
    <t>học tập</t>
  </si>
  <si>
    <t>学校</t>
  </si>
  <si>
    <t>xuéxiào</t>
  </si>
  <si>
    <t>trường học</t>
  </si>
  <si>
    <t>一</t>
  </si>
  <si>
    <t>yī</t>
  </si>
  <si>
    <t>một</t>
  </si>
  <si>
    <t>衣服</t>
  </si>
  <si>
    <t>yīfu</t>
  </si>
  <si>
    <t>quần áo</t>
  </si>
  <si>
    <t>医生</t>
  </si>
  <si>
    <t>yīshēng</t>
  </si>
  <si>
    <t>bác sĩ</t>
  </si>
  <si>
    <t>医院</t>
  </si>
  <si>
    <t>yīyuàn</t>
  </si>
  <si>
    <t>bệnh viện</t>
  </si>
  <si>
    <t>已经</t>
  </si>
  <si>
    <t>yǐjīng</t>
  </si>
  <si>
    <t>đã</t>
  </si>
  <si>
    <t>意思</t>
  </si>
  <si>
    <t>yìsi</t>
  </si>
  <si>
    <t>ý nghĩa</t>
  </si>
  <si>
    <t>有</t>
  </si>
  <si>
    <t>yǒu</t>
  </si>
  <si>
    <t>có</t>
  </si>
  <si>
    <t>月</t>
  </si>
  <si>
    <t>yuè</t>
  </si>
  <si>
    <t>tháng, trăng</t>
  </si>
  <si>
    <t>在</t>
  </si>
  <si>
    <t>zài</t>
  </si>
  <si>
    <t>ở, tại</t>
  </si>
  <si>
    <t>怎么</t>
  </si>
  <si>
    <t>zěnme</t>
  </si>
  <si>
    <t>thế nào</t>
  </si>
  <si>
    <t>怎么样</t>
  </si>
  <si>
    <t>zěnmeyàng</t>
  </si>
  <si>
    <t>这</t>
  </si>
  <si>
    <t>zhè</t>
  </si>
  <si>
    <t>này</t>
  </si>
  <si>
    <t>中国</t>
  </si>
  <si>
    <t>zhōngguó</t>
  </si>
  <si>
    <t>Trung Quốc</t>
  </si>
  <si>
    <t>中午</t>
  </si>
  <si>
    <t>zhōngwǔ</t>
  </si>
  <si>
    <t>buổi trưa</t>
  </si>
  <si>
    <t>住</t>
  </si>
  <si>
    <t>zhù</t>
  </si>
  <si>
    <t>sống, ở</t>
  </si>
  <si>
    <t>准备</t>
  </si>
  <si>
    <t>zhǔnbèi</t>
  </si>
  <si>
    <t>chuẩn bị</t>
  </si>
  <si>
    <t>桌子</t>
  </si>
  <si>
    <t>zhuōzi</t>
  </si>
  <si>
    <t>cái bàn</t>
  </si>
  <si>
    <t>字</t>
  </si>
  <si>
    <t>zì</t>
  </si>
  <si>
    <t>chữ</t>
  </si>
  <si>
    <t>自行车</t>
  </si>
  <si>
    <t>zìxíngchē</t>
  </si>
  <si>
    <t>xe đạp</t>
  </si>
  <si>
    <t>走</t>
  </si>
  <si>
    <t>zǒu</t>
  </si>
  <si>
    <t>最</t>
  </si>
  <si>
    <t>zuì</t>
  </si>
  <si>
    <t>nhất</t>
  </si>
  <si>
    <t>昨天</t>
  </si>
  <si>
    <t>zuótiān</t>
  </si>
  <si>
    <t>hôm qua</t>
  </si>
  <si>
    <t>坐</t>
  </si>
  <si>
    <t>zuò</t>
  </si>
  <si>
    <t>ngồi</t>
  </si>
  <si>
    <t>做</t>
  </si>
  <si>
    <t>làm</t>
  </si>
  <si>
    <t>左</t>
  </si>
  <si>
    <t>zuǒ</t>
  </si>
  <si>
    <t>trái</t>
  </si>
  <si>
    <t>爱好</t>
  </si>
  <si>
    <t>àihào</t>
  </si>
  <si>
    <t>Động</t>
  </si>
  <si>
    <t>từ Yêu thích; yêu chuộng</t>
  </si>
  <si>
    <t>吧</t>
  </si>
  <si>
    <t>Trợ</t>
  </si>
  <si>
    <t>từ Nhé; chứ; nào; thôi</t>
  </si>
  <si>
    <t>白</t>
  </si>
  <si>
    <t>bái</t>
  </si>
  <si>
    <t>Tính</t>
  </si>
  <si>
    <t>từ Trắng, màu trắng</t>
  </si>
  <si>
    <t>白天</t>
  </si>
  <si>
    <t>báitiān</t>
  </si>
  <si>
    <t>Danh</t>
  </si>
  <si>
    <t>từ Ban ngày</t>
  </si>
  <si>
    <t>百</t>
  </si>
  <si>
    <t>bǎi</t>
  </si>
  <si>
    <t>Số</t>
  </si>
  <si>
    <t>từ Một trăm; số 100</t>
  </si>
  <si>
    <t>班</t>
  </si>
  <si>
    <t>bān</t>
  </si>
  <si>
    <t>từ Lớp học</t>
  </si>
  <si>
    <t>半</t>
  </si>
  <si>
    <t>bàn</t>
  </si>
  <si>
    <t>từ Một nửa</t>
  </si>
  <si>
    <t>半年</t>
  </si>
  <si>
    <t>bànnián</t>
  </si>
  <si>
    <t>từ Nửa năm</t>
  </si>
  <si>
    <t>半天</t>
  </si>
  <si>
    <t>bàntiān</t>
  </si>
  <si>
    <t>từ Nửa ngày</t>
  </si>
  <si>
    <t>帮</t>
  </si>
  <si>
    <t>bāng</t>
  </si>
  <si>
    <t>từ Giúp đỡ, trợ giúp</t>
  </si>
  <si>
    <t>帮忙</t>
  </si>
  <si>
    <t>bāngmáng</t>
  </si>
  <si>
    <t>từ Giúp, giúp đỡ</t>
  </si>
  <si>
    <t>包</t>
  </si>
  <si>
    <t>bāo</t>
  </si>
  <si>
    <t>từ Bao; gói; bọc; quấn</t>
  </si>
  <si>
    <t>包子</t>
  </si>
  <si>
    <t>bāozǐ</t>
  </si>
  <si>
    <t>từ Bánh bao</t>
  </si>
  <si>
    <t>杯</t>
  </si>
  <si>
    <t>bēi</t>
  </si>
  <si>
    <t>từ Ly; cốc</t>
  </si>
  <si>
    <t>北</t>
  </si>
  <si>
    <t>běi</t>
  </si>
  <si>
    <t>từ Bắc, phía bắc</t>
  </si>
  <si>
    <t>北边</t>
  </si>
  <si>
    <t>běibian</t>
  </si>
  <si>
    <t>từ Phía bắc</t>
  </si>
  <si>
    <t>本子</t>
  </si>
  <si>
    <t>běnzǐ</t>
  </si>
  <si>
    <t>từ Cuốn; tập; vở</t>
  </si>
  <si>
    <t>比</t>
  </si>
  <si>
    <t>bǐ</t>
  </si>
  <si>
    <t>Giới</t>
  </si>
  <si>
    <t>từ Hơn, so, so với</t>
  </si>
  <si>
    <t>别</t>
  </si>
  <si>
    <t>bié</t>
  </si>
  <si>
    <t>Phó</t>
  </si>
  <si>
    <t>từ Đừng; chớ</t>
  </si>
  <si>
    <t>别的</t>
  </si>
  <si>
    <t>biéde</t>
  </si>
  <si>
    <t>Đại</t>
  </si>
  <si>
    <t>từ Khác; cái khác</t>
  </si>
  <si>
    <t>别人</t>
  </si>
  <si>
    <t>biérén</t>
  </si>
  <si>
    <t>từ Người khác; người ta</t>
  </si>
  <si>
    <t>病</t>
  </si>
  <si>
    <t>bìng</t>
  </si>
  <si>
    <t>từ Bệnh; ốm</t>
  </si>
  <si>
    <t>病人</t>
  </si>
  <si>
    <t>bìngrén</t>
  </si>
  <si>
    <t>từ Bệnh nhân; người bệnh</t>
  </si>
  <si>
    <t>不大</t>
  </si>
  <si>
    <t>bùdà</t>
  </si>
  <si>
    <t>từ Không to; không lớn</t>
  </si>
  <si>
    <t>不对</t>
  </si>
  <si>
    <t>bùduì</t>
  </si>
  <si>
    <t>từ Không đúng</t>
  </si>
  <si>
    <t>不客气</t>
  </si>
  <si>
    <t>búkèqi</t>
  </si>
  <si>
    <t>Cụm</t>
  </si>
  <si>
    <t>từ Không có gì; đừng khách sáo</t>
  </si>
  <si>
    <t>不用</t>
  </si>
  <si>
    <t>búyòng</t>
  </si>
  <si>
    <t>từ Không cần; không phải</t>
  </si>
  <si>
    <t>差</t>
  </si>
  <si>
    <t>chà</t>
  </si>
  <si>
    <t>từ Kém; tệ; không đạt</t>
  </si>
  <si>
    <t>常</t>
  </si>
  <si>
    <t>cháng</t>
  </si>
  <si>
    <t>từ Thường; thường xuyên</t>
  </si>
  <si>
    <t>尝尝</t>
  </si>
  <si>
    <t>chángcháng</t>
  </si>
  <si>
    <t>từ Nếm; thử (ăn, uống)</t>
  </si>
  <si>
    <t>唱</t>
  </si>
  <si>
    <t>chàng</t>
  </si>
  <si>
    <t>từ Hát; ca</t>
  </si>
  <si>
    <t>唱歌</t>
  </si>
  <si>
    <t>chànggē</t>
  </si>
  <si>
    <t>từ Hát; ca hát</t>
  </si>
  <si>
    <t>车</t>
  </si>
  <si>
    <t>chē</t>
  </si>
  <si>
    <t>từ Xe</t>
  </si>
  <si>
    <t>车票</t>
  </si>
  <si>
    <t>chēpiào</t>
  </si>
  <si>
    <t>từ Vé xe</t>
  </si>
  <si>
    <t>车上</t>
  </si>
  <si>
    <t>chēshàng</t>
  </si>
  <si>
    <t>từ Trên xe</t>
  </si>
  <si>
    <t>车站</t>
  </si>
  <si>
    <t>chēzhàn</t>
  </si>
  <si>
    <t>từ Trạm xe</t>
  </si>
  <si>
    <t>吃饭</t>
  </si>
  <si>
    <t>chīfàn</t>
  </si>
  <si>
    <t>từ Ăn cơm</t>
  </si>
  <si>
    <t>出</t>
  </si>
  <si>
    <t>chū</t>
  </si>
  <si>
    <t>từ Đi; xuất phát</t>
  </si>
  <si>
    <t>出来</t>
  </si>
  <si>
    <t>chūlái</t>
  </si>
  <si>
    <t>từ Ra; ra đây</t>
  </si>
  <si>
    <t>出去</t>
  </si>
  <si>
    <t>chūqù</t>
  </si>
  <si>
    <t>từ Ra; ra ngoài</t>
  </si>
  <si>
    <t>穿</t>
  </si>
  <si>
    <t>chuān</t>
  </si>
  <si>
    <t>từ Mặc; đi; mang; đeo</t>
  </si>
  <si>
    <t>床</t>
  </si>
  <si>
    <t>chuáng</t>
  </si>
  <si>
    <t>từ Giường</t>
  </si>
  <si>
    <t>次</t>
  </si>
  <si>
    <t>cì</t>
  </si>
  <si>
    <t>Lượng</t>
  </si>
  <si>
    <t>từ Lần; lượt; đợt</t>
  </si>
  <si>
    <t>从</t>
  </si>
  <si>
    <t>cóng</t>
  </si>
  <si>
    <t>từ Từ; bắt đầu từ</t>
  </si>
  <si>
    <t>错</t>
  </si>
  <si>
    <t>cuò</t>
  </si>
  <si>
    <t>từ Sai; nhầm; không đúng</t>
  </si>
  <si>
    <t>打</t>
  </si>
  <si>
    <t>dǎ</t>
  </si>
  <si>
    <t>từ Gõ; đánh; đập</t>
  </si>
  <si>
    <t>打车</t>
  </si>
  <si>
    <t>dǎchē</t>
  </si>
  <si>
    <t>từ Bắt xe; gọi xe (taxi)</t>
  </si>
  <si>
    <t>打电话</t>
  </si>
  <si>
    <t>dǎdiànhuà</t>
  </si>
  <si>
    <t>từ Gọi điện thoại</t>
  </si>
  <si>
    <t>打开</t>
  </si>
  <si>
    <t>dǎkāi</t>
  </si>
  <si>
    <t>từ Mở ra</t>
  </si>
  <si>
    <t>打球</t>
  </si>
  <si>
    <t>dǎqiú</t>
  </si>
  <si>
    <t>từ Đánh bóng; chơi bóng</t>
  </si>
  <si>
    <t>大学</t>
  </si>
  <si>
    <t>dàxué</t>
  </si>
  <si>
    <t>từ Đại học</t>
  </si>
  <si>
    <t>大学生</t>
  </si>
  <si>
    <t>dàxuéshēng</t>
  </si>
  <si>
    <t>từ Sinh viên đại học</t>
  </si>
  <si>
    <t>到</t>
  </si>
  <si>
    <t>dào</t>
  </si>
  <si>
    <t>từ Đến</t>
  </si>
  <si>
    <t>得到</t>
  </si>
  <si>
    <t>dédào</t>
  </si>
  <si>
    <t>từ Đạt được; nhận được</t>
  </si>
  <si>
    <t>地</t>
  </si>
  <si>
    <t>từ Mà, một cách</t>
  </si>
  <si>
    <t>等</t>
  </si>
  <si>
    <t>děng</t>
  </si>
  <si>
    <t>từ Đợi; chờ; chờ đợi</t>
  </si>
  <si>
    <t>地点</t>
  </si>
  <si>
    <t>dìdiǎn</t>
  </si>
  <si>
    <t>từ Địa điểm; nơi chốn</t>
  </si>
  <si>
    <t>地方</t>
  </si>
  <si>
    <t>dìfāng</t>
  </si>
  <si>
    <t>từ Bản xứ, bản địa</t>
  </si>
  <si>
    <t>地上</t>
  </si>
  <si>
    <t>dìshàng</t>
  </si>
  <si>
    <t>từ Mặt đất; dưới đất</t>
  </si>
  <si>
    <t>地图</t>
  </si>
  <si>
    <t>dìtú</t>
  </si>
  <si>
    <t>từ Bản đồ</t>
  </si>
  <si>
    <t>弟弟</t>
  </si>
  <si>
    <t>dìdi</t>
  </si>
  <si>
    <t>từ Em trai</t>
  </si>
  <si>
    <t>第</t>
  </si>
  <si>
    <t>dì</t>
  </si>
  <si>
    <t>Tiền</t>
  </si>
  <si>
    <t>tố Thứ tự; thứ hạng</t>
  </si>
  <si>
    <t>电</t>
  </si>
  <si>
    <t>diàn</t>
  </si>
  <si>
    <t>từ Điện; pin; điện năng</t>
  </si>
  <si>
    <t>电话</t>
  </si>
  <si>
    <t>diànhuà</t>
  </si>
  <si>
    <t>từ Điện thoại</t>
  </si>
  <si>
    <t>电影院</t>
  </si>
  <si>
    <t>diànyǐngyuàn</t>
  </si>
  <si>
    <t>từ Rạp chiếu phim</t>
  </si>
  <si>
    <t>东</t>
  </si>
  <si>
    <t>dōng</t>
  </si>
  <si>
    <t>từ Đông; hướng đông</t>
  </si>
  <si>
    <t>东边</t>
  </si>
  <si>
    <t>dōngbian</t>
  </si>
  <si>
    <t>từ Phía đông, hướng đông</t>
  </si>
  <si>
    <t>动</t>
  </si>
  <si>
    <t>dòng</t>
  </si>
  <si>
    <t>từ Chuyển động; cử động</t>
  </si>
  <si>
    <t>动作</t>
  </si>
  <si>
    <t>dòngzuò</t>
  </si>
  <si>
    <t>từ Động tác; hành động</t>
  </si>
  <si>
    <t>读</t>
  </si>
  <si>
    <t>dú</t>
  </si>
  <si>
    <t>từ Đọc; xem</t>
  </si>
  <si>
    <t>读书</t>
  </si>
  <si>
    <t>dúshū</t>
  </si>
  <si>
    <t>từ Học bài</t>
  </si>
  <si>
    <t>对不起</t>
  </si>
  <si>
    <t>duìbuqǐ</t>
  </si>
  <si>
    <t>từ Xin lỗi</t>
  </si>
  <si>
    <t>饿</t>
  </si>
  <si>
    <t>è</t>
  </si>
  <si>
    <t>từ Đói; bị đói</t>
  </si>
  <si>
    <t>饭</t>
  </si>
  <si>
    <t>fàn</t>
  </si>
  <si>
    <t>từ Cơm; bữa</t>
  </si>
  <si>
    <t>Tổng: 223 / 500 từ chính thức của Bậc 1 — còn thiếu 277 từ (bổ sung thêm từ danh sách HSK 3.0 chính thức)</t>
  </si>
  <si>
    <t>nhé, thôi</t>
  </si>
  <si>
    <t>trăm</t>
  </si>
  <si>
    <t>帮助</t>
  </si>
  <si>
    <t>bāngzhù</t>
  </si>
  <si>
    <t>giúp đỡ</t>
  </si>
  <si>
    <t>报纸</t>
  </si>
  <si>
    <t>bàozhǐ</t>
  </si>
  <si>
    <t>báo giấy</t>
  </si>
  <si>
    <t>so với</t>
  </si>
  <si>
    <t>đừng</t>
  </si>
  <si>
    <t>thường</t>
  </si>
  <si>
    <t>hát</t>
  </si>
  <si>
    <t>mặc</t>
  </si>
  <si>
    <t>sai</t>
  </si>
  <si>
    <t>打篮球</t>
  </si>
  <si>
    <t>dǎ lánqiú</t>
  </si>
  <si>
    <t>chơi bóng rổ</t>
  </si>
  <si>
    <t>得</t>
  </si>
  <si>
    <t>(bổ ngữ)</t>
  </si>
  <si>
    <t>đợi</t>
  </si>
  <si>
    <t>em trai</t>
  </si>
  <si>
    <t>第一</t>
  </si>
  <si>
    <t>dì-yī</t>
  </si>
  <si>
    <t>thứ nhất</t>
  </si>
  <si>
    <t>懂</t>
  </si>
  <si>
    <t>dǒng</t>
  </si>
  <si>
    <t>hiểu</t>
  </si>
  <si>
    <t>xin lỗi</t>
  </si>
  <si>
    <t>房间</t>
  </si>
  <si>
    <t>fángjiān</t>
  </si>
  <si>
    <t>căn phòng</t>
  </si>
  <si>
    <t>非常</t>
  </si>
  <si>
    <t>fēicháng</t>
  </si>
  <si>
    <t>服务员</t>
  </si>
  <si>
    <t>fúwùyuán</t>
  </si>
  <si>
    <t>nhân viên phục vụ</t>
  </si>
  <si>
    <t>高</t>
  </si>
  <si>
    <t>gāo</t>
  </si>
  <si>
    <t>cao</t>
  </si>
  <si>
    <t>告诉</t>
  </si>
  <si>
    <t>gàosu</t>
  </si>
  <si>
    <t>bảo</t>
  </si>
  <si>
    <t>哥哥</t>
  </si>
  <si>
    <t>gēge</t>
  </si>
  <si>
    <t>anh trai</t>
  </si>
  <si>
    <t>狗</t>
  </si>
  <si>
    <t>gǒu</t>
  </si>
  <si>
    <t>con chó</t>
  </si>
  <si>
    <t>贵</t>
  </si>
  <si>
    <t>guì</t>
  </si>
  <si>
    <t>đắt</t>
  </si>
  <si>
    <t>过</t>
  </si>
  <si>
    <t>guò</t>
  </si>
  <si>
    <t>đã từng, qua</t>
  </si>
  <si>
    <t>好吃</t>
  </si>
  <si>
    <t>hǎochī</t>
  </si>
  <si>
    <t>ngon</t>
  </si>
  <si>
    <t>黑</t>
  </si>
  <si>
    <t>hēi</t>
  </si>
  <si>
    <t>đen</t>
  </si>
  <si>
    <t>后面</t>
  </si>
  <si>
    <t>hòumiàn</t>
  </si>
  <si>
    <t>phía sau</t>
  </si>
  <si>
    <t>回</t>
  </si>
  <si>
    <t>huí</t>
  </si>
  <si>
    <t>về</t>
  </si>
  <si>
    <t>回答</t>
  </si>
  <si>
    <t>huídá</t>
  </si>
  <si>
    <t>trả lời</t>
  </si>
  <si>
    <t>火车站</t>
  </si>
  <si>
    <t>huǒchēzhàn</t>
  </si>
  <si>
    <t>ga tàu hỏa</t>
  </si>
  <si>
    <t>机场</t>
  </si>
  <si>
    <t>jīchǎng</t>
  </si>
  <si>
    <t>sân bay</t>
  </si>
  <si>
    <t>鸡蛋</t>
  </si>
  <si>
    <t>jīdàn</t>
  </si>
  <si>
    <t>trứng gà</t>
  </si>
  <si>
    <t>几</t>
  </si>
  <si>
    <t>jǐ</t>
  </si>
  <si>
    <t>mấy</t>
  </si>
  <si>
    <t>件</t>
  </si>
  <si>
    <t>jiàn</t>
  </si>
  <si>
    <t>chiếc, cái</t>
  </si>
  <si>
    <t>进</t>
  </si>
  <si>
    <t>jìn</t>
  </si>
  <si>
    <t>vào</t>
  </si>
  <si>
    <t>近</t>
  </si>
  <si>
    <t>gần</t>
  </si>
  <si>
    <t>就</t>
  </si>
  <si>
    <t>jiù</t>
  </si>
  <si>
    <t>thì, liền</t>
  </si>
  <si>
    <t>觉得</t>
  </si>
  <si>
    <t>juéde</t>
  </si>
  <si>
    <t>cảm thấy</t>
  </si>
  <si>
    <t>咖啡</t>
  </si>
  <si>
    <t>kāfēi</t>
  </si>
  <si>
    <t>cà phê</t>
  </si>
  <si>
    <t>开始</t>
  </si>
  <si>
    <t>kāishǐ</t>
  </si>
  <si>
    <t>bắt đầu</t>
  </si>
  <si>
    <t>考试</t>
  </si>
  <si>
    <t>kǎoshì</t>
  </si>
  <si>
    <t>kỳ thi</t>
  </si>
  <si>
    <t>可能</t>
  </si>
  <si>
    <t>kěnéng</t>
  </si>
  <si>
    <t>可以</t>
  </si>
  <si>
    <t>kěyǐ</t>
  </si>
  <si>
    <t>课</t>
  </si>
  <si>
    <t>kè</t>
  </si>
  <si>
    <t>bài học</t>
  </si>
  <si>
    <t>快</t>
  </si>
  <si>
    <t>nhanh</t>
  </si>
  <si>
    <t>快乐</t>
  </si>
  <si>
    <t>kuàilè</t>
  </si>
  <si>
    <t>vui vẻ</t>
  </si>
  <si>
    <t>累</t>
  </si>
  <si>
    <t>lèi</t>
  </si>
  <si>
    <t>mệt</t>
  </si>
  <si>
    <t>离</t>
  </si>
  <si>
    <t>lí</t>
  </si>
  <si>
    <t>cách</t>
  </si>
  <si>
    <t>两</t>
  </si>
  <si>
    <t>liǎng</t>
  </si>
  <si>
    <t>路</t>
  </si>
  <si>
    <t>lù</t>
  </si>
  <si>
    <t>đường</t>
  </si>
  <si>
    <t>旅游</t>
  </si>
  <si>
    <t>lǚyóu</t>
  </si>
  <si>
    <t>du lịch</t>
  </si>
  <si>
    <t>猫</t>
  </si>
  <si>
    <t>māo</t>
  </si>
  <si>
    <t>con mèo</t>
  </si>
  <si>
    <t>每</t>
  </si>
  <si>
    <t>měi</t>
  </si>
  <si>
    <t>mỗi</t>
  </si>
  <si>
    <t>妹妹</t>
  </si>
  <si>
    <t>mèimei</t>
  </si>
  <si>
    <t>em gái</t>
  </si>
  <si>
    <t>门</t>
  </si>
  <si>
    <t>mén</t>
  </si>
  <si>
    <t>cửa</t>
  </si>
  <si>
    <t>男</t>
  </si>
  <si>
    <t>nán</t>
  </si>
  <si>
    <t>đàn ông</t>
  </si>
  <si>
    <t>难</t>
  </si>
  <si>
    <t>khó</t>
  </si>
  <si>
    <t>您</t>
  </si>
  <si>
    <t>nín</t>
  </si>
  <si>
    <t>ngài (kính trọng)</t>
  </si>
  <si>
    <t>牛奶</t>
  </si>
  <si>
    <t>niúnǎi</t>
  </si>
  <si>
    <t>sữa bò</t>
  </si>
  <si>
    <t>女人</t>
  </si>
  <si>
    <t>nǚrén</t>
  </si>
  <si>
    <t>phụ nữ</t>
  </si>
  <si>
    <t>旁边</t>
  </si>
  <si>
    <t>pángbiān</t>
  </si>
  <si>
    <t>bên cạnh</t>
  </si>
  <si>
    <t>跑步</t>
  </si>
  <si>
    <t>pǎobù</t>
  </si>
  <si>
    <t>chạy bộ</t>
  </si>
  <si>
    <t>便宜</t>
  </si>
  <si>
    <t>piányi</t>
  </si>
  <si>
    <t>rẻ</t>
  </si>
  <si>
    <t>票</t>
  </si>
  <si>
    <t>piào</t>
  </si>
  <si>
    <t>vé</t>
  </si>
  <si>
    <t>妻子</t>
  </si>
  <si>
    <t>qīzi</t>
  </si>
  <si>
    <t>vợ</t>
  </si>
  <si>
    <t>起床</t>
  </si>
  <si>
    <t>qǐchuáng</t>
  </si>
  <si>
    <t>thức dậy</t>
  </si>
  <si>
    <t>千</t>
  </si>
  <si>
    <t>qiān</t>
  </si>
  <si>
    <t>nghìn</t>
  </si>
  <si>
    <t>前面</t>
  </si>
  <si>
    <t>qiánmiàn</t>
  </si>
  <si>
    <t>phía trước</t>
  </si>
  <si>
    <t>晴</t>
  </si>
  <si>
    <t>qíng</t>
  </si>
  <si>
    <t>nắng</t>
  </si>
  <si>
    <t>去年</t>
  </si>
  <si>
    <t>qùnián</t>
  </si>
  <si>
    <t>năm ngoái</t>
  </si>
  <si>
    <t>让</t>
  </si>
  <si>
    <t>ràng</t>
  </si>
  <si>
    <t>nhường, để cho</t>
  </si>
  <si>
    <t>日</t>
  </si>
  <si>
    <t>rì</t>
  </si>
  <si>
    <t>ngày</t>
  </si>
  <si>
    <t>上班</t>
  </si>
  <si>
    <t>shàngbān</t>
  </si>
  <si>
    <t>đi làm</t>
  </si>
  <si>
    <t>上午</t>
  </si>
  <si>
    <t>shàngwǔ</t>
  </si>
  <si>
    <t>buổi sáng</t>
  </si>
  <si>
    <t>身体</t>
  </si>
  <si>
    <t>shēntǐ</t>
  </si>
  <si>
    <t>cơ thể</t>
  </si>
  <si>
    <t>生病</t>
  </si>
  <si>
    <t>shēngbìng</t>
  </si>
  <si>
    <t>bị bệnh</t>
  </si>
  <si>
    <t>生日</t>
  </si>
  <si>
    <t>shēngrì</t>
  </si>
  <si>
    <t>sinh nhật</t>
  </si>
  <si>
    <t>时间</t>
  </si>
  <si>
    <t>shíjiān</t>
  </si>
  <si>
    <t>thời gian</t>
  </si>
  <si>
    <t>事情</t>
  </si>
  <si>
    <t>shìqing</t>
  </si>
  <si>
    <t>sự việc</t>
  </si>
  <si>
    <t>手表</t>
  </si>
  <si>
    <t>shǒubiǎo</t>
  </si>
  <si>
    <t>đồng hồ đeo tay</t>
  </si>
  <si>
    <t>手机</t>
  </si>
  <si>
    <t>shǒujī</t>
  </si>
  <si>
    <t>điện thoại</t>
  </si>
  <si>
    <t>送</t>
  </si>
  <si>
    <t>sòng</t>
  </si>
  <si>
    <t>tặng, tiễn</t>
  </si>
  <si>
    <t>所以</t>
  </si>
  <si>
    <t>suǒyǐ</t>
  </si>
  <si>
    <t>cho nên</t>
  </si>
  <si>
    <t>它</t>
  </si>
  <si>
    <t>nó (vật)</t>
  </si>
  <si>
    <t>踢足球</t>
  </si>
  <si>
    <t>tī zúqiú</t>
  </si>
  <si>
    <t>đá bóng</t>
  </si>
  <si>
    <t>题</t>
  </si>
  <si>
    <t>tí</t>
  </si>
  <si>
    <t>đề, câu hỏi</t>
  </si>
  <si>
    <t>跳舞</t>
  </si>
  <si>
    <t>tiàowǔ</t>
  </si>
  <si>
    <t>nhảy múa</t>
  </si>
  <si>
    <t>外</t>
  </si>
  <si>
    <t>wài</t>
  </si>
  <si>
    <t>ngoài</t>
  </si>
  <si>
    <t>完</t>
  </si>
  <si>
    <t>wán</t>
  </si>
  <si>
    <t>xong, hết</t>
  </si>
  <si>
    <t>玩</t>
  </si>
  <si>
    <t>chơi</t>
  </si>
  <si>
    <t>晚上</t>
  </si>
  <si>
    <t>wǎnshang</t>
  </si>
  <si>
    <t>buổi tối</t>
  </si>
  <si>
    <t>为什么</t>
  </si>
  <si>
    <t>wèishénme</t>
  </si>
  <si>
    <t>tại sao</t>
  </si>
  <si>
    <t>问题</t>
  </si>
  <si>
    <t>wèntí</t>
  </si>
  <si>
    <t>vấn đề</t>
  </si>
  <si>
    <t>西瓜</t>
  </si>
  <si>
    <t>xīguā</t>
  </si>
  <si>
    <t>dưa hấu</t>
  </si>
  <si>
    <t>希望</t>
  </si>
  <si>
    <t>xīwàng</t>
  </si>
  <si>
    <t>hy vọng</t>
  </si>
  <si>
    <t>洗</t>
  </si>
  <si>
    <t>xǐ</t>
  </si>
  <si>
    <t>rửa, giặt</t>
  </si>
  <si>
    <t>下午</t>
  </si>
  <si>
    <t>xiàwǔ</t>
  </si>
  <si>
    <t>buổi chiều</t>
  </si>
  <si>
    <t>下雨</t>
  </si>
  <si>
    <t>xià yǔ</t>
  </si>
  <si>
    <t>mưa</t>
  </si>
  <si>
    <t>些</t>
  </si>
  <si>
    <t>xiē</t>
  </si>
  <si>
    <t>vài, một ít</t>
  </si>
  <si>
    <t>新</t>
  </si>
  <si>
    <t>xīn</t>
  </si>
  <si>
    <t>mới</t>
  </si>
  <si>
    <t>姓</t>
  </si>
  <si>
    <t>xìng</t>
  </si>
  <si>
    <t>họ là</t>
  </si>
  <si>
    <t>休息</t>
  </si>
  <si>
    <t>xiūxi</t>
  </si>
  <si>
    <t>nghỉ ngơi</t>
  </si>
  <si>
    <t>雪</t>
  </si>
  <si>
    <t>xuě</t>
  </si>
  <si>
    <t>tuyết</t>
  </si>
  <si>
    <t>颜色</t>
  </si>
  <si>
    <t>yánsè</t>
  </si>
  <si>
    <t>màu sắc</t>
  </si>
  <si>
    <t>眼睛</t>
  </si>
  <si>
    <t>yǎnjing</t>
  </si>
  <si>
    <t>mắt</t>
  </si>
  <si>
    <t>羊肉</t>
  </si>
  <si>
    <t>yángròu</t>
  </si>
  <si>
    <t>thịt dê</t>
  </si>
  <si>
    <t>要</t>
  </si>
  <si>
    <t>yào</t>
  </si>
  <si>
    <t>muốn, cần</t>
  </si>
  <si>
    <t>药</t>
  </si>
  <si>
    <t>thuốc</t>
  </si>
  <si>
    <t>也</t>
  </si>
  <si>
    <t>yě</t>
  </si>
  <si>
    <t>cũng</t>
  </si>
  <si>
    <t>一起</t>
  </si>
  <si>
    <t>yìqǐ</t>
  </si>
  <si>
    <t>cùng nhau</t>
  </si>
  <si>
    <t>因为...所以</t>
  </si>
  <si>
    <t>yīnwèi...suǒyǐ</t>
  </si>
  <si>
    <t>bởi vì...cho nên</t>
  </si>
  <si>
    <t>阴</t>
  </si>
  <si>
    <t>yīn</t>
  </si>
  <si>
    <t>âm u</t>
  </si>
  <si>
    <t>游泳</t>
  </si>
  <si>
    <t>yóuyǒng</t>
  </si>
  <si>
    <t>bơi lội</t>
  </si>
  <si>
    <t>右边</t>
  </si>
  <si>
    <t>yòubian</t>
  </si>
  <si>
    <t>bên phải</t>
  </si>
  <si>
    <t>鱼</t>
  </si>
  <si>
    <t>yú</t>
  </si>
  <si>
    <t>cá</t>
  </si>
  <si>
    <t>元</t>
  </si>
  <si>
    <t>yuán</t>
  </si>
  <si>
    <t>đồng (tiền)</t>
  </si>
  <si>
    <t>远</t>
  </si>
  <si>
    <t>yuǎn</t>
  </si>
  <si>
    <t>xa</t>
  </si>
  <si>
    <t>运动</t>
  </si>
  <si>
    <t>yùndòng</t>
  </si>
  <si>
    <t>vận động</t>
  </si>
  <si>
    <t>再</t>
  </si>
  <si>
    <t>lại, nữa</t>
  </si>
  <si>
    <t>再见</t>
  </si>
  <si>
    <t>zàijiàn</t>
  </si>
  <si>
    <t>tạm biệt</t>
  </si>
  <si>
    <t>早上</t>
  </si>
  <si>
    <t>zǎoshang</t>
  </si>
  <si>
    <t>张</t>
  </si>
  <si>
    <t>zhāng</t>
  </si>
  <si>
    <t>tấm, tờ</t>
  </si>
  <si>
    <t>丈夫</t>
  </si>
  <si>
    <t>zhàngfu</t>
  </si>
  <si>
    <t>chồng</t>
  </si>
  <si>
    <t>找</t>
  </si>
  <si>
    <t>zhǎo</t>
  </si>
  <si>
    <t>tìm</t>
  </si>
  <si>
    <t>着</t>
  </si>
  <si>
    <t>zhe</t>
  </si>
  <si>
    <t>đang</t>
  </si>
  <si>
    <t>真</t>
  </si>
  <si>
    <t>zhēn</t>
  </si>
  <si>
    <t>thật</t>
  </si>
  <si>
    <t>正在</t>
  </si>
  <si>
    <t>zhèngzài</t>
  </si>
  <si>
    <t>知道</t>
  </si>
  <si>
    <t>zhīdào</t>
  </si>
  <si>
    <t>biết</t>
  </si>
  <si>
    <t>知识</t>
  </si>
  <si>
    <t>zhīshi</t>
  </si>
  <si>
    <t>kiến thức</t>
  </si>
  <si>
    <t>职业</t>
  </si>
  <si>
    <t>zhíyè</t>
  </si>
  <si>
    <t>nghề nghiệp</t>
  </si>
  <si>
    <t>纸</t>
  </si>
  <si>
    <t>zhǐ</t>
  </si>
  <si>
    <t>giấy</t>
  </si>
  <si>
    <t>只</t>
  </si>
  <si>
    <t>chỉ</t>
  </si>
  <si>
    <t>种</t>
  </si>
  <si>
    <t>zhǒng</t>
  </si>
  <si>
    <t>loại</t>
  </si>
  <si>
    <t>重要</t>
  </si>
  <si>
    <t>zhòngyào</t>
  </si>
  <si>
    <t>quan trọng</t>
  </si>
  <si>
    <t>注意</t>
  </si>
  <si>
    <t>zhùyì</t>
  </si>
  <si>
    <t>chú ý</t>
  </si>
  <si>
    <t>着急</t>
  </si>
  <si>
    <t>zháojí</t>
  </si>
  <si>
    <t>lo lắng</t>
  </si>
  <si>
    <t>自己</t>
  </si>
  <si>
    <t>zìjǐ</t>
  </si>
  <si>
    <t>tự mình</t>
  </si>
  <si>
    <t>总是</t>
  </si>
  <si>
    <t>zǒngshì</t>
  </si>
  <si>
    <t>luôn luôn</t>
  </si>
  <si>
    <t>祖国</t>
  </si>
  <si>
    <t>zǔguó</t>
  </si>
  <si>
    <t>Tổ quốc</t>
  </si>
  <si>
    <t>啊</t>
  </si>
  <si>
    <t>a</t>
  </si>
  <si>
    <t>Thán</t>
  </si>
  <si>
    <t>từ A, à</t>
  </si>
  <si>
    <t>爱情</t>
  </si>
  <si>
    <t>àiqíng</t>
  </si>
  <si>
    <t>từ Tình yêu, tình cảm</t>
  </si>
  <si>
    <t>爱人</t>
  </si>
  <si>
    <t>àirén</t>
  </si>
  <si>
    <t>từ Người yêu</t>
  </si>
  <si>
    <t>安静</t>
  </si>
  <si>
    <t>ānjìng</t>
  </si>
  <si>
    <t>từ Yên tĩnh</t>
  </si>
  <si>
    <t>安全</t>
  </si>
  <si>
    <t>ānquán</t>
  </si>
  <si>
    <t>từ An toàn</t>
  </si>
  <si>
    <t>白色</t>
  </si>
  <si>
    <t>báisè</t>
  </si>
  <si>
    <t>từ Màu trắng</t>
  </si>
  <si>
    <t>班长</t>
  </si>
  <si>
    <t>bānzhǎng</t>
  </si>
  <si>
    <t>từ Lớp trưởng</t>
  </si>
  <si>
    <t>办</t>
  </si>
  <si>
    <t>từ Làm, xử lý</t>
  </si>
  <si>
    <t>办法</t>
  </si>
  <si>
    <t>bànfǎ</t>
  </si>
  <si>
    <t>từ Cách làm, biện pháp</t>
  </si>
  <si>
    <t>办公室</t>
  </si>
  <si>
    <t>bàngōngshì</t>
  </si>
  <si>
    <t>từ Phòng làm việc</t>
  </si>
  <si>
    <t>半夜</t>
  </si>
  <si>
    <t>bànyè</t>
  </si>
  <si>
    <t>từ Nửa đêm</t>
  </si>
  <si>
    <t>饱</t>
  </si>
  <si>
    <t>bǎo</t>
  </si>
  <si>
    <t>từ No</t>
  </si>
  <si>
    <t>报名</t>
  </si>
  <si>
    <t>bàomíng</t>
  </si>
  <si>
    <t>từ Đăng ký</t>
  </si>
  <si>
    <t>北方</t>
  </si>
  <si>
    <t>běifāng</t>
  </si>
  <si>
    <t>từ Phương bắc</t>
  </si>
  <si>
    <t>背</t>
  </si>
  <si>
    <t>từ Cõng, mang vác</t>
  </si>
  <si>
    <t>比如</t>
  </si>
  <si>
    <t>bǐrú</t>
  </si>
  <si>
    <t>từ Ví dụ</t>
  </si>
  <si>
    <t>比如说</t>
  </si>
  <si>
    <t>bǐrúshuō</t>
  </si>
  <si>
    <t>từ Ví dụ, chẳng hạn như</t>
  </si>
  <si>
    <t>笔</t>
  </si>
  <si>
    <t>từ Bút</t>
  </si>
  <si>
    <t>笔记</t>
  </si>
  <si>
    <t>bǐjì</t>
  </si>
  <si>
    <t>từ Ghi chép</t>
  </si>
  <si>
    <t>笔记本</t>
  </si>
  <si>
    <t>bǐjìběn</t>
  </si>
  <si>
    <t>từ Sổ ghi chép</t>
  </si>
  <si>
    <t>必须</t>
  </si>
  <si>
    <t>bìxū</t>
  </si>
  <si>
    <t>từ Cần, phải</t>
  </si>
  <si>
    <t>边</t>
  </si>
  <si>
    <t>biān</t>
  </si>
  <si>
    <t>từ Bên, bên cạnh</t>
  </si>
  <si>
    <t>变</t>
  </si>
  <si>
    <t>biàn</t>
  </si>
  <si>
    <t>từ Biến đổi, thay đổi</t>
  </si>
  <si>
    <t>变成</t>
  </si>
  <si>
    <t>biànchéng</t>
  </si>
  <si>
    <t>từ Trở thành, biến thành</t>
  </si>
  <si>
    <t>遍</t>
  </si>
  <si>
    <t>từ Lần</t>
  </si>
  <si>
    <t>表</t>
  </si>
  <si>
    <t>biǎo</t>
  </si>
  <si>
    <t>từ Bảng, đồng hồ</t>
  </si>
  <si>
    <t>表示</t>
  </si>
  <si>
    <t>biǎoshì</t>
  </si>
  <si>
    <t>từ Biểu thị, bày tỏ</t>
  </si>
  <si>
    <t>不错</t>
  </si>
  <si>
    <t>búcuò</t>
  </si>
  <si>
    <t>từ Không tệ, khá tốt</t>
  </si>
  <si>
    <t>不但</t>
  </si>
  <si>
    <t>búdàn</t>
  </si>
  <si>
    <t>Liên</t>
  </si>
  <si>
    <t>từ Không những, không chỉ</t>
  </si>
  <si>
    <t>不够</t>
  </si>
  <si>
    <t>búgòu</t>
  </si>
  <si>
    <t>từ Không đủ</t>
  </si>
  <si>
    <t>不过</t>
  </si>
  <si>
    <t>búguò</t>
  </si>
  <si>
    <t>từ Nhưng, tuy nhiên</t>
  </si>
  <si>
    <t>不太</t>
  </si>
  <si>
    <t>bútài</t>
  </si>
  <si>
    <t>từ Không quá, không lắm</t>
  </si>
  <si>
    <t>不要</t>
  </si>
  <si>
    <t>búyào</t>
  </si>
  <si>
    <t>từ Đừng, không được</t>
  </si>
  <si>
    <t>不好意思</t>
  </si>
  <si>
    <t>bùhǎoyìsi</t>
  </si>
  <si>
    <t>từ Ngại, xấu hổ</t>
  </si>
  <si>
    <t>不久</t>
  </si>
  <si>
    <t>bùjiǔ</t>
  </si>
  <si>
    <t>Trạng</t>
  </si>
  <si>
    <t>từ Không lâu, chẳng bao lâu</t>
  </si>
  <si>
    <t>不满</t>
  </si>
  <si>
    <t>bùmǎn</t>
  </si>
  <si>
    <t>từ Bất mãn, không hài lòng</t>
  </si>
  <si>
    <t>不如</t>
  </si>
  <si>
    <t>bùrú</t>
  </si>
  <si>
    <t>từ Không bằng</t>
  </si>
  <si>
    <t>不少</t>
  </si>
  <si>
    <t>bùshǎo</t>
  </si>
  <si>
    <t>từ Không ít</t>
  </si>
  <si>
    <t>不同</t>
  </si>
  <si>
    <t>bùtóng</t>
  </si>
  <si>
    <t>từ Không giống, khác nhau</t>
  </si>
  <si>
    <t>不行</t>
  </si>
  <si>
    <t>bùxíng</t>
  </si>
  <si>
    <t>từ Không được, không ổn</t>
  </si>
  <si>
    <t>不一定</t>
  </si>
  <si>
    <t>bùyídìng</t>
  </si>
  <si>
    <t>từ Không nhất định, chưa chắc</t>
  </si>
  <si>
    <t>不一会儿</t>
  </si>
  <si>
    <t>bùyíhuìr</t>
  </si>
  <si>
    <t>từ Chẳng bao lâu, không lâu sau</t>
  </si>
  <si>
    <t>部分</t>
  </si>
  <si>
    <t>bùfen</t>
  </si>
  <si>
    <t>từ Phần, bộ phận</t>
  </si>
  <si>
    <t>才</t>
  </si>
  <si>
    <t>cái</t>
  </si>
  <si>
    <t>từ Mới, vừa mới</t>
  </si>
  <si>
    <t>菜单</t>
  </si>
  <si>
    <t>càidān</t>
  </si>
  <si>
    <t>từ Thực đơn</t>
  </si>
  <si>
    <t>参观</t>
  </si>
  <si>
    <t>cānguān</t>
  </si>
  <si>
    <t>từ Tham quan</t>
  </si>
  <si>
    <t>参加</t>
  </si>
  <si>
    <t>cānjiā</t>
  </si>
  <si>
    <t>từ Tham gia</t>
  </si>
  <si>
    <t>草</t>
  </si>
  <si>
    <t>cǎo</t>
  </si>
  <si>
    <t>từ Cỏ</t>
  </si>
  <si>
    <t>草地</t>
  </si>
  <si>
    <t>cǎodì</t>
  </si>
  <si>
    <t>từ Bãi cỏ</t>
  </si>
  <si>
    <t>层</t>
  </si>
  <si>
    <t>céng</t>
  </si>
  <si>
    <t>từ Tầng (lầu)</t>
  </si>
  <si>
    <t>查</t>
  </si>
  <si>
    <t>từ Tra cứu, kiểm tra</t>
  </si>
  <si>
    <t>差不多</t>
  </si>
  <si>
    <t>chàbuduō</t>
  </si>
  <si>
    <t>từ Gần như, xấp xỉ</t>
  </si>
  <si>
    <t>长</t>
  </si>
  <si>
    <t>từ Dài</t>
  </si>
  <si>
    <t>常见</t>
  </si>
  <si>
    <t>chángjiàn</t>
  </si>
  <si>
    <t>từ Thường thấy</t>
  </si>
  <si>
    <t>常用</t>
  </si>
  <si>
    <t>chángyòng</t>
  </si>
  <si>
    <t>từ Thường dùng</t>
  </si>
  <si>
    <t>场</t>
  </si>
  <si>
    <t>chǎng</t>
  </si>
  <si>
    <t>từ Sân, bãi</t>
  </si>
  <si>
    <t>超过</t>
  </si>
  <si>
    <t>chāoguò</t>
  </si>
  <si>
    <t>từ Vượt qua</t>
  </si>
  <si>
    <t>超市</t>
  </si>
  <si>
    <t>chāoshì</t>
  </si>
  <si>
    <t>từ Siêu thị</t>
  </si>
  <si>
    <t>车辆</t>
  </si>
  <si>
    <t>chēliàng</t>
  </si>
  <si>
    <t>từ Xe cộ</t>
  </si>
  <si>
    <t>称</t>
  </si>
  <si>
    <t>chēng</t>
  </si>
  <si>
    <t>từ Gọi là, xưng là</t>
  </si>
  <si>
    <t>成</t>
  </si>
  <si>
    <t>chéng</t>
  </si>
  <si>
    <t>từ Trở thành</t>
  </si>
  <si>
    <t>成绩</t>
  </si>
  <si>
    <t>chéngjì</t>
  </si>
  <si>
    <t>từ Thành tích</t>
  </si>
  <si>
    <t>成为</t>
  </si>
  <si>
    <t>chéngwéi</t>
  </si>
  <si>
    <t>重复</t>
  </si>
  <si>
    <t>chóngfù</t>
  </si>
  <si>
    <t>từ Lặp lại</t>
  </si>
  <si>
    <t>重新</t>
  </si>
  <si>
    <t>chóngxīn</t>
  </si>
  <si>
    <t>từ Làm lại từ đầu</t>
  </si>
  <si>
    <t>出发</t>
  </si>
  <si>
    <t>chūfā</t>
  </si>
  <si>
    <t>từ Xuất phát</t>
  </si>
  <si>
    <t>出国</t>
  </si>
  <si>
    <t>chūguó</t>
  </si>
  <si>
    <t>từ Ra nước ngoài</t>
  </si>
  <si>
    <t>出口</t>
  </si>
  <si>
    <t>chūkǒu</t>
  </si>
  <si>
    <t>từ Lối ra</t>
  </si>
  <si>
    <t>出门</t>
  </si>
  <si>
    <t>chūmén</t>
  </si>
  <si>
    <t>từ Ra ngoài</t>
  </si>
  <si>
    <t>出生</t>
  </si>
  <si>
    <t>chūshēng</t>
  </si>
  <si>
    <t>từ Sinh ra</t>
  </si>
  <si>
    <t>出现</t>
  </si>
  <si>
    <t>chūxiàn</t>
  </si>
  <si>
    <t>từ Xuất hiện</t>
  </si>
  <si>
    <t>出院</t>
  </si>
  <si>
    <t>chūyuàn</t>
  </si>
  <si>
    <t>từ Xuất viện</t>
  </si>
  <si>
    <t>出租</t>
  </si>
  <si>
    <t>chūzū</t>
  </si>
  <si>
    <t>từ Cho thuê</t>
  </si>
  <si>
    <t>từ Xe taxi</t>
  </si>
  <si>
    <t>船</t>
  </si>
  <si>
    <t>chuán</t>
  </si>
  <si>
    <t>từ Thuyền</t>
  </si>
  <si>
    <t>吹</t>
  </si>
  <si>
    <t>chuī</t>
  </si>
  <si>
    <t>từ Thổi</t>
  </si>
  <si>
    <t>春节</t>
  </si>
  <si>
    <t>Chūnjié</t>
  </si>
  <si>
    <t>từ Tết nguyên đán</t>
  </si>
  <si>
    <t>春天</t>
  </si>
  <si>
    <t>chūntiān</t>
  </si>
  <si>
    <t>từ Mùa xuân</t>
  </si>
  <si>
    <t>词</t>
  </si>
  <si>
    <t>cí</t>
  </si>
  <si>
    <t>từ Từ, lời, lời văn</t>
  </si>
  <si>
    <t>词典</t>
  </si>
  <si>
    <t>cídiǎn</t>
  </si>
  <si>
    <t>từ Từ điển</t>
  </si>
  <si>
    <t>词语</t>
  </si>
  <si>
    <t>cíyǔ</t>
  </si>
  <si>
    <t>từ Từ ngữ</t>
  </si>
  <si>
    <t>从小</t>
  </si>
  <si>
    <t>cóngxiǎo</t>
  </si>
  <si>
    <t>từ Từ nhỏ</t>
  </si>
  <si>
    <t>答应</t>
  </si>
  <si>
    <t>dāyìng</t>
  </si>
  <si>
    <t>từ Đồng ý, hứa</t>
  </si>
  <si>
    <t>打工</t>
  </si>
  <si>
    <t>dǎgōng</t>
  </si>
  <si>
    <t>từ Làm việc (bán thời gian)</t>
  </si>
  <si>
    <t>打算</t>
  </si>
  <si>
    <t>dǎsuàn</t>
  </si>
  <si>
    <t>từ Dự định, kế hoạch</t>
  </si>
  <si>
    <t>打印</t>
  </si>
  <si>
    <t>dǎyìn</t>
  </si>
  <si>
    <t>từ In ấn</t>
  </si>
  <si>
    <t>大部分</t>
  </si>
  <si>
    <t>dàbùfen</t>
  </si>
  <si>
    <t>từ Phần lớn, đa số</t>
  </si>
  <si>
    <t>大大</t>
  </si>
  <si>
    <t>dàdà</t>
  </si>
  <si>
    <t>từ Rất, cực kỳ</t>
  </si>
  <si>
    <t>大海</t>
  </si>
  <si>
    <t>dàhǎi</t>
  </si>
  <si>
    <t>từ Đại dương, biển lớn</t>
  </si>
  <si>
    <t>大多数</t>
  </si>
  <si>
    <t>dàduōshù</t>
  </si>
  <si>
    <t>từ Đại đa số, phần lớn</t>
  </si>
  <si>
    <t>大家</t>
  </si>
  <si>
    <t>dàjiā</t>
  </si>
  <si>
    <t>từ Mọi người</t>
  </si>
  <si>
    <t>大量</t>
  </si>
  <si>
    <t>dàliàng</t>
  </si>
  <si>
    <t>từ Số lượng lớn</t>
  </si>
  <si>
    <t>大门</t>
  </si>
  <si>
    <t>dàmén</t>
  </si>
  <si>
    <t>từ Cổng lớn</t>
  </si>
  <si>
    <t>大人</t>
  </si>
  <si>
    <t>dàrén</t>
  </si>
  <si>
    <t>từ Người lớn</t>
  </si>
  <si>
    <t>大声</t>
  </si>
  <si>
    <t>dàshēng</t>
  </si>
  <si>
    <t>từ Nói to, giọng to</t>
  </si>
  <si>
    <t>大小</t>
  </si>
  <si>
    <t>dàxiǎo</t>
  </si>
  <si>
    <t>từ Kích thước, lớn nhỏ</t>
  </si>
  <si>
    <t>大衣</t>
  </si>
  <si>
    <t>dàyī</t>
  </si>
  <si>
    <t>từ Áo khoác dài</t>
  </si>
  <si>
    <t>大自然</t>
  </si>
  <si>
    <t>dàzìrán</t>
  </si>
  <si>
    <t>từ Thiên nhiên</t>
  </si>
  <si>
    <t>Tổng: 240 / 772 từ chính thức của Bậc 2 — còn thiếu 532 từ (bổ sung thêm từ danh sách HSK 3.0 chính thức)</t>
  </si>
  <si>
    <t>Chủ đề (Tiếng Việt)</t>
  </si>
  <si>
    <t>话题 (Chữ Hán)</t>
  </si>
  <si>
    <t>Số ngày trong lịch</t>
  </si>
  <si>
    <t>Ngày bắt đầu-kết thúc</t>
  </si>
  <si>
    <t>10 từ vựng trọng tâm (Hán-Pinyin-Nghĩa)</t>
  </si>
  <si>
    <t>Chào hỏi &amp; Giới thiệu bản thân (mở rộng)</t>
  </si>
  <si>
    <t>问候与自我介绍</t>
  </si>
  <si>
    <t>Ngày 71-73</t>
  </si>
  <si>
    <t>性格(xìnggé)-tính cách; 外向(wàixiàng)-hướng ngoại; 内向(nèixiàng)-hướng nội; 爱好(àihào)-sở thích; 理想(lǐxiǎng)-lý tưởng, ước mơ; 职业(zhíyè)-nghề nghiệp; 聪明(cōngming)-thông minh; 认真(rènzhēn)-nghiêm túc, chăm chỉ; 害羞(hàixiū)-ngại ngùng; 经历(jīnglì)-kinh nghiệm, trải qua</t>
  </si>
  <si>
    <t>Gia đình &amp; Người thân</t>
  </si>
  <si>
    <t>家庭与亲人</t>
  </si>
  <si>
    <t>Ngày 74-76</t>
  </si>
  <si>
    <t>亲戚(qīnqi)-họ hàng; 夫妻(fūqī)-vợ chồng; 照顾(zhàogù)-chăm sóc; 长大(zhǎngdà)-lớn lên; 关系(guānxi)-mối quan hệ; 严格(yángé)-nghiêm khắc; 温柔(wēnróu)-dịu dàng; 孝顺(xiàoshùn)-hiếu thảo; 互相(hùxiāng)-lẫn nhau; 支持(zhīchí)-ủng hộ</t>
  </si>
  <si>
    <t>Trường học – Học tập – Thi cử</t>
  </si>
  <si>
    <t>学校与学习</t>
  </si>
  <si>
    <t>Ngày 78-80</t>
  </si>
  <si>
    <t>专业(zhuānyè)-chuyên ngành; 成绩(chéngjì)-thành tích, điểm số; 复习(fùxí)-ôn tập; 考试(kǎoshì)-thi cử; 及格(jígé)-đạt (điểm); 努力(nǔlì)-nỗ lực; 请假(qǐngjià)-xin nghỉ phép; 同学(tóngxué)-bạn học; 提高(tígāo)-nâng cao; 压力(yālì)-áp lực</t>
  </si>
  <si>
    <t>Công việc – Nghề nghiệp</t>
  </si>
  <si>
    <t>工作与职业</t>
  </si>
  <si>
    <t>Ngày 81-83</t>
  </si>
  <si>
    <t>公司(gōngsī)-công ty; 经理(jīnglǐ)-giám đốc, quản lý; 同事(tóngshì)-đồng nghiệp; 工资(gōngzī)-lương; 面试(miànshì)-phỏng vấn; 招聘(zhāopìn)-tuyển dụng; 加班(jiābān)-làm thêm giờ; 经验(jīngyàn)-kinh nghiệm; 辛苦(xīnkǔ)-vất vả; 适合(shìhé)-phù hợp</t>
  </si>
  <si>
    <t>Sinh hoạt hằng ngày – Thói quen</t>
  </si>
  <si>
    <t>日常生活与习惯</t>
  </si>
  <si>
    <t>Ngày 85-87</t>
  </si>
  <si>
    <t>习惯(xíguàn)-thói quen; 起床(qǐchuáng)-thức dậy; 按时(ànshí)-đúng giờ; 一般(yìbān)-thông thường; 打扫(dǎsǎo)-dọn dẹp; 安排(ānpái)-sắp xếp; 整理(zhěnglǐ)-sắp xếp gọn gàng; 经常(jīngcháng)-thường xuyên; 懒(lǎn)-lười; 规律(guīlǜ)-điều độ, quy luật</t>
  </si>
  <si>
    <t>Ăn uống – Nhà hàng – Khẩu vị</t>
  </si>
  <si>
    <t>饮食与餐厅</t>
  </si>
  <si>
    <t>Ngày 88-90</t>
  </si>
  <si>
    <t>味道(wèidào)-hương vị; 点菜(diǎncài)-gọi món; 服务员(fúwùyuán)-nhân viên phục vụ; 清淡(qīngdàn)-thanh đạm, ít gia vị; 辣(là)-cay; 拿手菜(náshǒucài)-món tủ, món sở trường; 结账(jiézhàng)-thanh toán; 新鲜(xīnxiān)-tươi; 合适(héshì)-phù hợp; 营养(yíngyǎng)-dinh dưỡng</t>
  </si>
  <si>
    <t>Mua sắm – Tiêu dùng – Giá cả</t>
  </si>
  <si>
    <t>购物与消费</t>
  </si>
  <si>
    <t>Ngày 92-94</t>
  </si>
  <si>
    <t>打折(dǎzhé)-giảm giá; 便宜(piányi)-rẻ; 贵(guì)-đắt; 价格(jiàgé)-giá cả; 质量(zhìliàng)-chất lượng; 换(huàn)-đổi; 退(tuì)-trả lại; 尺码(chǐmǎ)-kích cỡ; 购物(gòuwù)-mua sắm; 合算(hésuàn)-hời, đáng giá</t>
  </si>
  <si>
    <t>Sức khỏe – Khám bệnh – Thể dục</t>
  </si>
  <si>
    <t>健康与看病</t>
  </si>
  <si>
    <t>Ngày 95-96</t>
  </si>
  <si>
    <t>感冒(gǎnmào)-cảm cúm; 发烧(fāshāo)-sốt; 咳嗽(késou)-ho; 医院(yīyuàn)-bệnh viện; 打针(dǎzhēn)-tiêm; 吃药(chīyào)-uống thuốc; 锻炼(duànliàn)-rèn luyện, tập thể dục; 休息(xiūxi)-nghỉ ngơi; 身体(shēntǐ)-cơ thể, sức khỏe; 恢复(huīfù)-hồi phục</t>
  </si>
  <si>
    <t>Thời tiết – Các mùa</t>
  </si>
  <si>
    <t>天气与季节</t>
  </si>
  <si>
    <t>Ngày 97-99</t>
  </si>
  <si>
    <t>气温(qìwēn)-nhiệt độ; 刮风(guāfēng)-có gió; 下雪(xiàxuě)-có tuyết rơi; 季节(jìjié)-mùa; 凉快(liángkuai)-mát mẻ; 暖和(nuǎnhuo)-ấm áp; 天气预报(tiānqì yùbào)-dự báo thời tiết; 潮湿(cháoshī)-ẩm ướt; 温度(wēndù)-nhiệt độ; 带(dài)-mang theo</t>
  </si>
  <si>
    <t>Giao thông – Hỏi đường – Đi lại</t>
  </si>
  <si>
    <t>交通与问路</t>
  </si>
  <si>
    <t>Ngày 100-101</t>
  </si>
  <si>
    <t>地铁(dìtiě)-tàu điện ngầm; 公共汽车(gōnggòng qìchē)-xe buýt; 堵车(dǔchē)-tắc đường; 方向(fāngxiàng)-phương hướng; 拐弯(guǎiwān)-rẽ; 路口(lùkǒu)-ngã tư, giao lộ; 直走(zhízǒu)-đi thẳng; 站(zhàn)-trạm, bến; 迷路(mílù)-lạc đường; 方便(fāngbiàn)-tiện lợi</t>
  </si>
  <si>
    <t>Du lịch – Khách sạn – Tham quan</t>
  </si>
  <si>
    <t>旅游与住宿</t>
  </si>
  <si>
    <t>Ngày 102-103</t>
  </si>
  <si>
    <t>旅行(lǚxíng)-du lịch; 订(dìng)-đặt (phòng, vé); 房间(fángjiān)-phòng; 景点(jǐngdiǎn)-điểm tham quan; 护照(hùzhào)-hộ chiếu; 签证(qiānzhèng)-visa; 行李(xínglǐ)-hành lý; 导游(dǎoyóu)-hướng dẫn viên; 风景(fēngjǐng)-phong cảnh; 难忘(nánwàng)-khó quên</t>
  </si>
  <si>
    <t>Điện thoại – Hẹn gặp – Lịch trình</t>
  </si>
  <si>
    <t>打电话与约会</t>
  </si>
  <si>
    <t>Ngày 104-106</t>
  </si>
  <si>
    <t>打电话(dǎ diànhuà)-gọi điện thoại; 约(yuē)-hẹn; 方便(fāngbiàn)-tiện, thuận tiện; 改(gǎi)-thay đổi; 取消(qǔxiāo)-hủy bỏ; 留言(liúyán)-để lại lời nhắn; 准时(zhǔnshí)-đúng giờ; 迟到(chídào)-đến muộn; 联系(liánxì)-liên lạc; 确认(quèrèn)-xác nhận</t>
  </si>
  <si>
    <t>Sở thích – Giải trí – Thể thao</t>
  </si>
  <si>
    <t>爱好、娱乐与运动</t>
  </si>
  <si>
    <t>Ngày 107-108</t>
  </si>
  <si>
    <t>运动(yùndòng)-vận động, thể thao; 篮球(lánqiú)-bóng rổ; 游泳(yóuyǒng)-bơi lội; 音乐会(yīnyuèhuì)-buổi hòa nhạc; 电影院(diànyǐngyuàn)-rạp chiếu phim; 空闲(kòngxián)-rảnh rỗi; 有意思(yǒu yìsi)-thú vị; 表演(biǎoyǎn)-biểu diễn; 比赛(bǐsài)-thi đấu; 坚持(jiānchí)-kiên trì</t>
  </si>
  <si>
    <t>Cảm xúc – Tính cách – Giao tiếp xã hội</t>
  </si>
  <si>
    <t>情感、性格与社交礼仪</t>
  </si>
  <si>
    <t>Ngày 109-110</t>
  </si>
  <si>
    <t>高兴(gāoxìng)-vui vẻ; 难过(nánguò)-buồn; 紧张(jǐnzhāng)-căng thẳng, hồi hộp; 生气(shēngqì)-tức giận; 安慰(ānwèi)-an ủi; 道歉(dàoqiàn)-xin lỗi; 原谅(yuánliàng)-tha thứ; 拒绝(jùjué)-từ chối; 羡慕(xiànmù)-ngưỡng mộ; 理解(lǐjiě)-thấu hiểu</t>
  </si>
  <si>
    <t>Nhà ở – Môi trường sống – Hàng xóm</t>
  </si>
  <si>
    <t>住房与生活环境</t>
  </si>
  <si>
    <t>Ngày 111-113</t>
  </si>
  <si>
    <t>房租(fángzū)-tiền thuê nhà; 家具(jiājù)-đồ nội thất; 安静(ānjìng)-yên tĩnh; 附近(fùjìn)-gần đây; 邻居(línjū)-hàng xóm; 搬家(bānjiā)-chuyển nhà; 方便(fāngbiàn)-thuận tiện; 楼(lóu)-tầng, tòa nhà; 环境(huánjìng)-môi trường; 宽敞(kuānchang)-rộng rãi</t>
  </si>
  <si>
    <t>Lễ hội – Phong tục – Văn hóa Trung Quốc</t>
  </si>
  <si>
    <t>节日、风俗与中国文化</t>
  </si>
  <si>
    <t>Ngày 114-115</t>
  </si>
  <si>
    <t>春节(Chūnjié)-Tết Nguyên đán; 中秋节(Zhōngqiūjié)-Tết Trung thu; 习俗(xísú)-phong tục; 传统(chuántǒng)-truyền thống; 庆祝(qìngzhù)-chúc mừng, ăn mừng; 红包(hóngbāo)-phong bao lì xì; 团圆(tuányuán)-đoàn viên; 祝福(zhùfú)-chúc phúc; 热闹(rènao)-náo nhiệt; 文化(wénhuà)-văn hóa</t>
  </si>
  <si>
    <t>Thành phố – Phương hướng – Mô tả địa điểm</t>
  </si>
  <si>
    <t>城市与方位描述</t>
  </si>
  <si>
    <t>Ngày 116-117</t>
  </si>
  <si>
    <t>城市(chéngshì)-thành phố; 农村(nóngcūn)-nông thôn; 安静(ānjìng)-yên tĩnh; 热闹(rènao)-náo nhiệt; 人口(rénkǒu)-dân số; 位于(wèiyú)-nằm ở, tọa lạc; 附近(fùjìn)-gần đó; 特点(tèdiǎn)-đặc điểm; 中心(zhōngxīn)-trung tâm; 方便(fāngbiàn)-tiện lợi</t>
  </si>
  <si>
    <t>Công nghệ – Mạng – Đời sống số cơ bản</t>
  </si>
  <si>
    <t>科技与网络生活</t>
  </si>
  <si>
    <t>Ngày 118-120</t>
  </si>
  <si>
    <t>手机(shǒujī)-điện thoại di động; 网络(wǎngluò)-mạng internet; 软件(ruǎnjiàn)-phần mềm, ứng dụng; 下载(xiàzài)-tải xuống; 发消息(fā xiāoxi)-gửi tin nhắn; 视频(shìpín)-video, gọi video; 上网(shàngwǎng)-lên mạng; 密码(mìmǎ)-mật khẩu; 联系人(liánxìrén)-danh bạ; 方便(fāngbiàn)-tiện lợi</t>
  </si>
  <si>
    <t>Tổng: 18 chủ đề x 10 từ = 180 từ (thật) + 195 từ HSK3 lõi (100 gốc + 95 bổ sung cge.edu.vn) = 375 / 973 từ chính thức Bậc 3 — còn thiếu 598 từ</t>
  </si>
  <si>
    <t>NHỮNG LỖI PINYIN NGƯỜI VIỆT HAY MẮC - CẦN GV KIỂM TRA RIÊNG</t>
  </si>
  <si>
    <t>Lỗi thường gặp</t>
  </si>
  <si>
    <t>Biểu hiện</t>
  </si>
  <si>
    <t>Cách khắc phục</t>
  </si>
  <si>
    <t>Âm uốn lưỡi zh/ch/sh/r</t>
  </si>
  <si>
    <t>Đọc lẫn với z/c/s vì tiếng Việt không có âm uốn lưỡi</t>
  </si>
  <si>
    <t>Luyện cong lưỡi chạm ngạc cứng, so sánh cặp tối thiểu: zhī vs zī, chá vs cá</t>
  </si>
  <si>
    <t>j/q/x vs zh/ch/sh</t>
  </si>
  <si>
    <t>Nhầm 2 nhóm âm vì đều nghe 'gần giống' tr/ch tiếng Việt</t>
  </si>
  <si>
    <t>j/q/x: mặt lưỡi phẳng, gần răng; zh/ch/sh: lưỡi cong lên - tập trước gương</t>
  </si>
  <si>
    <t>Nguyên âm ü</t>
  </si>
  <si>
    <t>Đọc thành 'u' thường, đặc biệt sau j/q/x/y (dù chính tả chỉ viết u)</t>
  </si>
  <si>
    <t>Nhắc quy tắc: sau j/q/x/y, chữ 'u' LUÔN đọc là ü (môi tròn, lưỡi như i)</t>
  </si>
  <si>
    <t>Vận mũi -n vs -ng</t>
  </si>
  <si>
    <t>Đọc an/ang, in/ing, en/eng giống hệt nhau</t>
  </si>
  <si>
    <t>Luyện cặp tối thiểu: bān-bāng, xīn-xīng; cảm nhận luồng hơi ra mũi khác nhau</t>
  </si>
  <si>
    <t>Biến điệu thanh 3+3</t>
  </si>
  <si>
    <t>Đọc 2 thanh 3 liên tiếp mà không biến điệu</t>
  </si>
  <si>
    <t>Quy tắc: 3+3 → đọc thành 2+3, ví dụ 你好 nǐhǎo → thực tế đọc níhǎo</t>
  </si>
  <si>
    <t>Biến điệu 不 và 一</t>
  </si>
  <si>
    <t>Luôn đọc 不(bù)/一(yī) ở thanh gốc, quên đổi thanh theo âm sau</t>
  </si>
  <si>
    <t>不 + thanh 4 → đổi thành thanh 2 (不是 búshì); 一 đổi thanh tùy âm sau nó</t>
  </si>
  <si>
    <t>Âm tiết co rút iu/ui/un</t>
  </si>
  <si>
    <t>Đọc sai vì không biết iu=iou, ui=uei, un=uen bị viết tắt</t>
  </si>
  <si>
    <t>Dạy rõ dạng đầy đủ trước, sau đó giải thích quy tắc viết tắt khi ghép phụ âm đầu</t>
  </si>
  <si>
    <t>Khinh thanh (thanh nhẹ)</t>
  </si>
  <si>
    <t>Vẫn cố đọc rõ thanh cho 的/了/吗/呢... làm mất tự nhiên</t>
  </si>
  <si>
    <t>Luyện đọc nhẹ, ngắn, không nhấn - nghe nhiều hội thoại thật để bắt chước nhịp</t>
  </si>
  <si>
    <t>LINK TẢI ĐẦY ĐỦ TỪ VỰNG CHÍNH THỨC HSK 3.0 (để bổ sung nốt phần còn thiếu)</t>
  </si>
  <si>
    <t>Quy mô</t>
  </si>
  <si>
    <t>Link Google Sheets (tải về .xlsx)</t>
  </si>
  <si>
    <t>Tình trạng</t>
  </si>
  <si>
    <t>Bậc 1</t>
  </si>
  <si>
    <t>500 từ</t>
  </si>
  <si>
    <t>https://docs.google.com/spreadsheets/d/1zBMB0egAlMXghBWOhvmiH2ifYeFZYY0-51IJquuzing/edit?usp=sharing</t>
  </si>
  <si>
    <t>Bạn đã có 223/500 - còn thiếu 277</t>
  </si>
  <si>
    <t>Bậc 2</t>
  </si>
  <si>
    <t>772 từ mới (1272 lũy kế)</t>
  </si>
  <si>
    <t>https://docs.google.com/spreadsheets/d/1xzMsV6vqecroOqA5QJc3DdngKleHt4tYLOzrkslwDoA/edit?usp=sharing</t>
  </si>
  <si>
    <t>Bạn đã có 240/772 - còn thiếu 532</t>
  </si>
  <si>
    <t>Bậc 3</t>
  </si>
  <si>
    <t>973 từ mới (2245 lũy kế)</t>
  </si>
  <si>
    <t>https://docs.google.com/spreadsheets/d/1wxGCy8yCbb59nOxBQFB0lpMNrqec6vRbwIP5SI6gEU4/edit?usp=sharing</t>
  </si>
  <si>
    <t>Bạn đã có 375/973 - còn thiếu 598</t>
  </si>
  <si>
    <t>Cách dùng: mở link -&gt; File -&gt; Tải xuống -&gt; Microsoft Excel (.xlsx) -&gt; lọc bỏ các từ đã trùng với sheet 'Từ vựng Bậc X' -&gt; nhập phần còn lại vào PandaHán Pro.</t>
  </si>
  <si>
    <t>Nguồn: CGE - Hoa Ngữ Quốc Tế (cge.edu.vn), đối chiếu chuẩn GF0025-2021 (HSK 3.0).</t>
  </si>
  <si>
    <t>Pinyin Tone Quest 120 ngày — Bảng quy đổi hoạt động game</t>
  </si>
  <si>
    <t>Mỗi trạm game được gắn theo đúng ngày trong sheet “Ke hoach 120 ngay”. Người học hoàn thành chuỗi hoạt động, trả lời câu hỏi chốt từ bài khóa rồi cập nhật trạng thái ở cột W.</t>
  </si>
  <si>
    <t>Mã hoạt động</t>
  </si>
  <si>
    <t>Tên trong game</t>
  </si>
  <si>
    <t>Cách làm trong tài liệu</t>
  </si>
  <si>
    <t>Loại trạm</t>
  </si>
  <si>
    <t>Điểm gợi ý</t>
  </si>
  <si>
    <t>tone_race</t>
  </si>
  <si>
    <t>Đọc hoặc nghe 10 âm tiết; xác định và đọc lại đúng thanh 1–4 theo nhịp chậm.</t>
  </si>
  <si>
    <t>Trạm thường</t>
  </si>
  <si>
    <t>minimal_pairs</t>
  </si>
  <si>
    <t>Phân biệt âm</t>
  </si>
  <si>
    <t>Phân biệt tối thiểu 8 cặp âm/vần gần nhau; đánh dấu cặp bạn còn nhầm.</t>
  </si>
  <si>
    <t>speak_check</t>
  </si>
  <si>
    <t>Nói theo rubric</t>
  </si>
  <si>
    <t>Ghi âm một lượt đọc, tự đối chiếu theo rubric thanh điệu, bật hơi và ngắt cụm nghĩa.</t>
  </si>
  <si>
    <t>pinyin_trace</t>
  </si>
  <si>
    <t>Viết Pinyin</t>
  </si>
  <si>
    <t>Viết lại mẫu âm tiết hoặc từ trọng tâm có dấu thanh; đọc lại sau khi viết.</t>
  </si>
  <si>
    <t>srs_review</t>
  </si>
  <si>
    <t>Ôn SRS</t>
  </si>
  <si>
    <t>Ôn toàn bộ thẻ SRS đến hạn và đánh dấu những từ cần quay lại.</t>
  </si>
  <si>
    <t>flash_sprint</t>
  </si>
  <si>
    <t>Ghép nhanh từ – pinyin – nghĩa Việt; hoàn tất tối thiểu 10 mục không tra đáp án.</t>
  </si>
  <si>
    <t>listen_hunt</t>
  </si>
  <si>
    <t>Săn tín hiệu nghe</t>
  </si>
  <si>
    <t>Nghe ngắn, khoanh các từ/cụm từ mục tiêu và chép lại phần nghe được.</t>
  </si>
  <si>
    <t>sentence_order</t>
  </si>
  <si>
    <t>Sắp xếp câu</t>
  </si>
  <si>
    <t>Sắp xếp từ thành câu đúng rồi đọc thành tiếng một lượt có ngữ điệu.</t>
  </si>
  <si>
    <t>dialogue_roleplay</t>
  </si>
  <si>
    <t>Roleplay hội thoại</t>
  </si>
  <si>
    <t>Đóng vai hai lượt hội thoại; thay ít nhất một chi tiết để tạo câu mới.</t>
  </si>
  <si>
    <t>word_match</t>
  </si>
  <si>
    <t>Ghép từ Hán, pinyin và nghĩa Việt; đọc to sau mỗi lượt ghép đúng.</t>
  </si>
  <si>
    <t>cloze_reading</t>
  </si>
  <si>
    <t>Đọc đục lỗ</t>
  </si>
  <si>
    <t>Điền từ/cụm phù hợp vào đoạn đọc rồi đọc trọn đoạn với tốc độ tự nhiên.</t>
  </si>
  <si>
    <t>meaning_dash</t>
  </si>
  <si>
    <t>Nghĩa nhanh</t>
  </si>
  <si>
    <t>Chọn nghĩa nhanh cho từ mới, sau đó đặt một câu ngắn có dùng từ đó.</t>
  </si>
  <si>
    <t>read_comprehension</t>
  </si>
  <si>
    <t>Đọc hiểu nhanh</t>
  </si>
  <si>
    <t>Đọc đoạn khóa, gạch thông tin chính và trả lời câu hỏi hiểu bài.</t>
  </si>
  <si>
    <t>weekly_listen</t>
  </si>
  <si>
    <t>Boss tuần: làm bài nghe tổng hợp, tự ghi lại tối thiểu ba chỗ nghe chưa chắc.</t>
  </si>
  <si>
    <t>Boss tuần</t>
  </si>
  <si>
    <t>weekly_speak</t>
  </si>
  <si>
    <t>Boss nói tuần</t>
  </si>
  <si>
    <t>Boss tuần: trả lời 8–10 câu nói tổng hợp, ưu tiên phản xạ và thanh điệu.</t>
  </si>
  <si>
    <t>weekly_read</t>
  </si>
  <si>
    <t>Boss đọc tuần</t>
  </si>
  <si>
    <t>Boss tuần: đọc hiểu tổng hợp, tìm ý chính và thông tin cụ thể trong bài.</t>
  </si>
  <si>
    <t>weekly_write</t>
  </si>
  <si>
    <t>Boss viết tuần</t>
  </si>
  <si>
    <t>Boss tuần: hoàn thành phần viết, bao gồm pinyin/từ/câu theo đúng trọng tâm tuần.</t>
  </si>
  <si>
    <t>srs_boss</t>
  </si>
  <si>
    <t>Boss ôn tập</t>
  </si>
  <si>
    <t>Boss ôn tập: hoàn tất toàn bộ thẻ đến hạn và lập danh sách lỗi để ôn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</si>
</sst>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2" x14ac:knownFonts="1">
    <font>
      <sz val="11"/>
      <color theme="1"/>
      <name val="Calibri"/>
      <scheme val="minor"/>
    </font>
    <font>
      <b/>
      <sz val="13"/>
      <color theme="1"/>
      <name val="Arial"/>
    </font>
    <font>
      <b/>
      <sz val="11"/>
      <color rgb="FFFFFFFF"/>
      <name val="Arial"/>
    </font>
    <font>
      <sz val="10"/>
      <color theme="1"/>
      <name val="Arial"/>
    </font>
    <font>
      <sz val="11"/>
      <color theme="1"/>
      <name val="Arial"/>
    </font>
    <font>
      <sz val="10"/>
      <color theme="1"/>
      <name val="Noto Sans"/>
    </font>
    <font>
      <sz val="9"/>
      <color theme="1"/>
      <name val="Arial"/>
    </font>
    <font>
      <b/>
      <sz val="11"/>
      <color rgb="FFC00000"/>
      <name val="Arial"/>
    </font>
    <font>
      <sz val="9"/>
      <color theme="1"/>
      <name val="Noto Sans"/>
    </font>
    <font>
      <b/>
      <sz val="11"/>
      <color theme="1"/>
      <name val="Arial"/>
    </font>
    <font>
      <b/>
      <i/>
      <sz val="11"/>
      <color theme="1"/>
      <name val="Arial"/>
    </font>
    <font>
      <b/>
      <sz val="11"/>
      <color rgb="FFFFFFFF"/>
      <name val="Noto Sans"/>
    </font>
    <font>
      <sz val="11"/>
      <color theme="1"/>
      <name val="Noto Sans"/>
    </font>
    <font>
      <u/>
      <sz val="11"/>
      <color rgb="FF0563C1"/>
      <name val="Arial"/>
    </font>
    <font>
      <u/>
      <sz val="11"/>
      <color rgb="FF0563C1"/>
      <name val="Arial"/>
    </font>
    <font>
      <i/>
      <sz val="11"/>
      <color theme="1"/>
      <name val="Arial"/>
    </font>
    <font>
      <i/>
      <sz val="9"/>
      <color theme="1"/>
      <name val="Arial"/>
    </font>
    <font>
      <b/>
      <sz val="10"/>
      <color rgb="FFFFFFFF"/>
      <name val="Aptos Display"/>
    </font>
    <font>
      <b/>
      <sz val="10"/>
      <color rgb="FF203647"/>
      <name val="Aptos"/>
    </font>
    <font>
      <sz val="10"/>
      <color rgb="FF203647"/>
      <name val="Aptos"/>
    </font>
    <font>
      <b/>
      <sz val="16"/>
      <color rgb="FFFFFFFF"/>
      <name val="Aptos Display"/>
    </font>
    <font>
      <i/>
      <sz val="10"/>
      <color rgb="FF566B78"/>
      <name val="Aptos"/>
    </font>
  </fonts>
  <fills count="10">
    <fill>
      <patternFill patternType="none"/>
    </fill>
    <fill>
      <patternFill patternType="gray125"/>
    </fill>
    <fill>
      <patternFill patternType="solid">
        <fgColor rgb="FF1F4E78"/>
        <bgColor rgb="FF1F4E78"/>
      </patternFill>
    </fill>
    <fill>
      <patternFill patternType="solid">
        <fgColor rgb="FFFCE4D6"/>
        <bgColor rgb="FFFCE4D6"/>
      </patternFill>
    </fill>
    <fill>
      <patternFill patternType="solid">
        <fgColor rgb="FFD9D2E9"/>
        <bgColor rgb="FFD9D2E9"/>
      </patternFill>
    </fill>
    <fill>
      <patternFill patternType="solid">
        <fgColor rgb="FFDCE6F1"/>
        <bgColor rgb="FFDCE6F1"/>
      </patternFill>
    </fill>
    <fill>
      <patternFill patternType="solid">
        <fgColor rgb="FFE2EFDA"/>
        <bgColor rgb="FFE2EFDA"/>
      </patternFill>
    </fill>
    <fill>
      <patternFill patternType="solid">
        <fgColor rgb="FFFFF2CC"/>
        <bgColor rgb="FFFFF2CC"/>
      </patternFill>
    </fill>
    <fill>
      <patternFill patternType="solid">
        <fgColor rgb="FFC9473F"/>
      </patternFill>
    </fill>
    <fill>
      <patternFill patternType="solid">
        <fgColor rgb="FF203647"/>
      </patternFill>
    </fill>
  </fills>
  <borders count="4">
    <border>
      <left/>
      <right/>
      <top/>
      <bottom/>
      <diagonal/>
    </border>
    <border>
      <left/>
      <right/>
      <top/>
      <bottom/>
      <diagonal/>
    </border>
    <border>
      <left style="thin">
        <color rgb="FFBFBFBF"/>
      </left>
      <right style="thin">
        <color rgb="FFBFBFBF"/>
      </right>
      <top style="thin">
        <color rgb="FFBFBFBF"/>
      </top>
      <bottom style="thin">
        <color rgb="FFBFBFBF"/>
      </bottom>
      <diagonal/>
    </border>
    <border>
      <left style="thin">
        <color rgb="FFB23D37"/>
      </left>
      <right style="thin">
        <color rgb="FFB23D37"/>
      </right>
      <top style="thin">
        <color rgb="FFB23D37"/>
      </top>
      <bottom style="thin">
        <color rgb="FFB23D37"/>
      </bottom>
      <diagonal/>
    </border>
  </borders>
  <cellStyleXfs count="1">
    <xf numFmtId="0" fontId="0" fillId="0" borderId="0"/>
  </cellStyleXfs>
  <cellXfs count="46">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3" fillId="0" borderId="2" xfId="0" applyFont="1" applyBorder="1"/>
    <xf numFmtId="0" fontId="4" fillId="0" borderId="0" xfId="0" applyFont="1"/>
    <xf numFmtId="0" fontId="5" fillId="0" borderId="2" xfId="0" applyFont="1" applyBorder="1"/>
    <xf numFmtId="0" fontId="6" fillId="3" borderId="2" xfId="0" applyFont="1" applyFill="1" applyBorder="1" applyAlignment="1">
      <alignment horizontal="center" vertical="center"/>
    </xf>
    <xf numFmtId="0" fontId="7" fillId="0" borderId="0" xfId="0" applyFont="1"/>
    <xf numFmtId="0" fontId="6" fillId="3" borderId="2" xfId="0" applyFont="1" applyFill="1" applyBorder="1" applyAlignment="1">
      <alignment vertical="center" wrapText="1"/>
    </xf>
    <xf numFmtId="164" fontId="4" fillId="0" borderId="0" xfId="0" applyNumberFormat="1" applyFont="1"/>
    <xf numFmtId="0" fontId="8" fillId="3" borderId="2" xfId="0" applyFont="1" applyFill="1" applyBorder="1" applyAlignment="1">
      <alignment vertical="center" wrapText="1"/>
    </xf>
    <xf numFmtId="0" fontId="9" fillId="0" borderId="0" xfId="0" applyFont="1"/>
    <xf numFmtId="0" fontId="9" fillId="0" borderId="0" xfId="0" applyFont="1" applyAlignment="1">
      <alignment horizontal="center" vertical="center"/>
    </xf>
    <xf numFmtId="164" fontId="9" fillId="0" borderId="0" xfId="0" applyNumberFormat="1" applyFont="1"/>
    <xf numFmtId="0" fontId="10" fillId="0" borderId="0" xfId="0" applyFont="1"/>
    <xf numFmtId="0" fontId="6" fillId="4" borderId="2" xfId="0" applyFont="1" applyFill="1" applyBorder="1" applyAlignment="1">
      <alignment horizontal="center" vertical="center"/>
    </xf>
    <xf numFmtId="0" fontId="6" fillId="4" borderId="2" xfId="0" applyFont="1" applyFill="1" applyBorder="1" applyAlignment="1">
      <alignment vertical="center" wrapText="1"/>
    </xf>
    <xf numFmtId="0" fontId="6" fillId="5" borderId="2" xfId="0" applyFont="1" applyFill="1" applyBorder="1" applyAlignment="1">
      <alignment horizontal="center" vertical="center"/>
    </xf>
    <xf numFmtId="0" fontId="6" fillId="5" borderId="2" xfId="0" applyFont="1" applyFill="1" applyBorder="1" applyAlignment="1">
      <alignment vertical="center" wrapText="1"/>
    </xf>
    <xf numFmtId="0" fontId="8" fillId="5" borderId="2" xfId="0" applyFont="1" applyFill="1" applyBorder="1" applyAlignment="1">
      <alignment vertical="center" wrapText="1"/>
    </xf>
    <xf numFmtId="0" fontId="11" fillId="2" borderId="1" xfId="0" applyFont="1" applyFill="1" applyBorder="1" applyAlignment="1">
      <alignment horizontal="center" vertical="center" wrapText="1"/>
    </xf>
    <xf numFmtId="0" fontId="6" fillId="0" borderId="2" xfId="0" applyFont="1" applyBorder="1" applyAlignment="1">
      <alignment vertical="center" wrapText="1"/>
    </xf>
    <xf numFmtId="0" fontId="8" fillId="0" borderId="2" xfId="0" applyFont="1" applyBorder="1" applyAlignment="1">
      <alignment vertical="center" wrapText="1"/>
    </xf>
    <xf numFmtId="0" fontId="9" fillId="0" borderId="2" xfId="0" applyFont="1" applyBorder="1" applyAlignment="1">
      <alignment vertical="center" wrapText="1"/>
    </xf>
    <xf numFmtId="0" fontId="4" fillId="0" borderId="2" xfId="0" applyFont="1" applyBorder="1" applyAlignment="1">
      <alignment vertical="center" wrapText="1"/>
    </xf>
    <xf numFmtId="0" fontId="12" fillId="0" borderId="2" xfId="0" applyFont="1" applyBorder="1" applyAlignment="1">
      <alignment vertical="center" wrapText="1"/>
    </xf>
    <xf numFmtId="0" fontId="6" fillId="6" borderId="2" xfId="0" applyFont="1" applyFill="1" applyBorder="1" applyAlignment="1">
      <alignment horizontal="center" vertical="center"/>
    </xf>
    <xf numFmtId="0" fontId="6" fillId="6" borderId="2" xfId="0" applyFont="1" applyFill="1" applyBorder="1" applyAlignment="1">
      <alignment vertical="center" wrapText="1"/>
    </xf>
    <xf numFmtId="0" fontId="8" fillId="6" borderId="2" xfId="0" applyFont="1" applyFill="1" applyBorder="1" applyAlignment="1">
      <alignment vertical="center" wrapText="1"/>
    </xf>
    <xf numFmtId="0" fontId="13" fillId="0" borderId="2" xfId="0" applyFont="1" applyBorder="1" applyAlignment="1">
      <alignment vertical="center" wrapText="1"/>
    </xf>
    <xf numFmtId="0" fontId="14" fillId="0" borderId="2" xfId="0" applyFont="1" applyBorder="1" applyAlignment="1">
      <alignment vertical="center" wrapText="1"/>
    </xf>
    <xf numFmtId="0" fontId="6" fillId="7" borderId="2" xfId="0" applyFont="1" applyFill="1" applyBorder="1" applyAlignment="1">
      <alignment horizontal="center" vertical="center"/>
    </xf>
    <xf numFmtId="0" fontId="6" fillId="7" borderId="2" xfId="0" applyFont="1" applyFill="1" applyBorder="1" applyAlignment="1">
      <alignment vertical="center" wrapText="1"/>
    </xf>
    <xf numFmtId="0" fontId="8" fillId="7" borderId="2" xfId="0" applyFont="1" applyFill="1" applyBorder="1" applyAlignment="1">
      <alignment vertical="center" wrapText="1"/>
    </xf>
    <xf numFmtId="0" fontId="17" fillId="8" borderId="3" xfId="0" applyFont="1" applyFill="1" applyBorder="1" applyAlignment="1">
      <alignment horizontal="center" vertical="center" wrapText="1"/>
    </xf>
    <xf numFmtId="0" fontId="18" fillId="0" borderId="0" xfId="0" applyFont="1" applyAlignment="1">
      <alignment vertical="top" wrapText="1"/>
    </xf>
    <xf numFmtId="0" fontId="19" fillId="0" borderId="0" xfId="0" applyFont="1" applyAlignment="1">
      <alignment vertical="top" wrapText="1"/>
    </xf>
    <xf numFmtId="0" fontId="18" fillId="0" borderId="0" xfId="0" applyFont="1" applyAlignment="1">
      <alignment horizontal="center" vertical="top" wrapText="1"/>
    </xf>
    <xf numFmtId="0" fontId="3" fillId="0" borderId="0" xfId="0" applyFont="1"/>
    <xf numFmtId="0" fontId="0" fillId="0" borderId="0" xfId="0"/>
    <xf numFmtId="0" fontId="1" fillId="0" borderId="0" xfId="0" applyFont="1"/>
    <xf numFmtId="0" fontId="10" fillId="0" borderId="0" xfId="0" applyFont="1"/>
    <xf numFmtId="0" fontId="15" fillId="0" borderId="0" xfId="0" applyFont="1"/>
    <xf numFmtId="0" fontId="16" fillId="0" borderId="0" xfId="0" applyFont="1"/>
    <xf numFmtId="0" fontId="21" fillId="0" borderId="0" xfId="0" applyFont="1" applyAlignment="1">
      <alignment vertical="center" wrapText="1"/>
    </xf>
    <xf numFmtId="0" fontId="20" fillId="9" borderId="0" xfId="0" applyFont="1" applyFill="1" applyAlignment="1">
      <alignment horizontal="center" vertical="center"/>
    </xf>
  </cellXfs>
  <cellStyles count="1">
    <cellStyle name="Normal" xfId="0" builtinId="0"/>
  </cellStyles>
  <dxfs count="6">
    <dxf>
      <fill>
        <patternFill patternType="solid">
          <fgColor rgb="FFFFF1C9"/>
        </patternFill>
      </fill>
    </dxf>
    <dxf>
      <fill>
        <patternFill patternType="solid">
          <fgColor rgb="FFDDEFE1"/>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9" defaultPivotStyle="PivotStyleLight16">
    <tableStyle name="Từ vựng Bậc 1 (223 từ)-style" pivot="0" count="4" xr9:uid="{00000000-0011-0000-FFFF-FFFF00000000}">
      <tableStyleElement type="wholeTable" size="0" dxfId="2"/>
      <tableStyleElement type="headerRow" dxfId="5"/>
      <tableStyleElement type="firstRowStripe" dxfId="4"/>
      <tableStyleElement type="secondRowStripe"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ảng_1" displayName="Bảng_1" ref="A1:F224">
  <tableColumns count="6">
    <tableColumn id="1" xr3:uid="{00000000-0010-0000-0000-000001000000}" name="STT"/>
    <tableColumn id="2" xr3:uid="{00000000-0010-0000-0000-000002000000}" name="Ngày học"/>
    <tableColumn id="3" xr3:uid="{00000000-0010-0000-0000-000003000000}" name="Chữ Hán"/>
    <tableColumn id="4" xr3:uid="{00000000-0010-0000-0000-000004000000}" name="Pinyin"/>
    <tableColumn id="5" xr3:uid="{00000000-0010-0000-0000-000005000000}" name="Từ loại"/>
    <tableColumn id="6" xr3:uid="{00000000-0010-0000-0000-000006000000}" name="Nghĩa tiếng Việt"/>
  </tableColumns>
  <tableStyleInfo name="Từ vựng Bậc 1 (223 từ)-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hyperlink" Target="https://docs.google.com/spreadsheets/d/1wxGCy8yCbb59nOxBQFB0lpMNrqec6vRbwIP5SI6gEU4/edit?usp=sharing" TargetMode="External"/><Relationship Id="rId2" Type="http://schemas.openxmlformats.org/officeDocument/2006/relationships/hyperlink" Target="https://docs.google.com/spreadsheets/d/1xzMsV6vqecroOqA5QJc3DdngKleHt4tYLOzrkslwDoA/edit?usp=sharing" TargetMode="External"/><Relationship Id="rId1" Type="http://schemas.openxmlformats.org/officeDocument/2006/relationships/hyperlink" Target="https://docs.google.com/spreadsheets/d/1zBMB0egAlMXghBWOhvmiH2ifYeFZYY0-51IJquuzing/edit?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9473F"/>
  </sheetPr>
  <dimension ref="A1:W1000"/>
  <sheetViews>
    <sheetView tabSelected="1" topLeftCell="R1" workbookViewId="0">
      <pane ySplit="1" topLeftCell="A118" activePane="bottomLeft" state="frozen"/>
      <selection pane="bottomLeft" activeCell="S124" sqref="S124"/>
    </sheetView>
  </sheetViews>
  <sheetFormatPr defaultColWidth="14.44140625" defaultRowHeight="15" customHeight="1" x14ac:dyDescent="0.3"/>
  <cols>
    <col min="1" max="1" width="6" customWidth="1"/>
    <col min="2" max="2" width="8" customWidth="1"/>
    <col min="3" max="3" width="34" customWidth="1"/>
    <col min="4" max="4" width="18" customWidth="1"/>
    <col min="5" max="5" width="34" customWidth="1"/>
    <col min="6" max="6" width="46" customWidth="1"/>
    <col min="7" max="7" width="8" customWidth="1"/>
    <col min="8" max="8" width="12" customWidth="1"/>
    <col min="9" max="9" width="34" customWidth="1"/>
    <col min="10" max="10" width="26" customWidth="1"/>
    <col min="11" max="12" width="30" customWidth="1"/>
    <col min="13" max="13" width="32" customWidth="1"/>
    <col min="14" max="14" width="11" customWidth="1"/>
    <col min="15" max="15" width="24" customWidth="1"/>
    <col min="16" max="16" width="19" customWidth="1"/>
    <col min="17" max="17" width="21" customWidth="1"/>
    <col min="18" max="18" width="42" customWidth="1"/>
    <col min="19" max="19" width="46" customWidth="1"/>
    <col min="20" max="20" width="12" customWidth="1"/>
    <col min="21" max="21" width="45" customWidth="1"/>
    <col min="22" max="22" width="42" customWidth="1"/>
    <col min="23" max="23" width="18" customWidth="1"/>
    <col min="24" max="26" width="19" customWidth="1"/>
  </cols>
  <sheetData>
    <row r="1" spans="1:23" ht="42"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4" t="s">
        <v>15</v>
      </c>
      <c r="Q1" s="34" t="s">
        <v>16</v>
      </c>
      <c r="R1" s="34" t="s">
        <v>17</v>
      </c>
      <c r="S1" s="34" t="s">
        <v>18</v>
      </c>
      <c r="T1" s="34" t="s">
        <v>19</v>
      </c>
      <c r="U1" s="34" t="s">
        <v>20</v>
      </c>
      <c r="V1" s="34" t="s">
        <v>21</v>
      </c>
      <c r="W1" s="34" t="s">
        <v>22</v>
      </c>
    </row>
    <row r="2" spans="1:23" ht="75" customHeight="1" x14ac:dyDescent="0.3">
      <c r="A2" s="6">
        <v>1</v>
      </c>
      <c r="B2" s="8" t="s">
        <v>23</v>
      </c>
      <c r="C2" s="8" t="s">
        <v>24</v>
      </c>
      <c r="D2" s="8" t="s">
        <v>25</v>
      </c>
      <c r="E2" s="8" t="s">
        <v>26</v>
      </c>
      <c r="F2" s="10" t="s">
        <v>27</v>
      </c>
      <c r="G2" s="6">
        <v>8</v>
      </c>
      <c r="H2" s="6">
        <v>8</v>
      </c>
      <c r="I2" s="8" t="s">
        <v>28</v>
      </c>
      <c r="J2" s="8" t="s">
        <v>29</v>
      </c>
      <c r="K2" s="8" t="s">
        <v>30</v>
      </c>
      <c r="L2" s="8" t="s">
        <v>31</v>
      </c>
      <c r="M2" s="8" t="s">
        <v>32</v>
      </c>
      <c r="N2" s="6"/>
      <c r="O2" s="8" t="s">
        <v>33</v>
      </c>
      <c r="P2" s="35" t="s">
        <v>34</v>
      </c>
      <c r="Q2" s="35" t="s">
        <v>35</v>
      </c>
      <c r="R2" s="36" t="s">
        <v>36</v>
      </c>
      <c r="S2" s="36" t="s">
        <v>37</v>
      </c>
      <c r="T2" s="37">
        <v>30</v>
      </c>
      <c r="U2" s="36" t="s">
        <v>39</v>
      </c>
      <c r="V2" s="36" t="s">
        <v>40</v>
      </c>
      <c r="W2" s="35" t="s">
        <v>41</v>
      </c>
    </row>
    <row r="3" spans="1:23" ht="75" customHeight="1" x14ac:dyDescent="0.3">
      <c r="A3" s="6">
        <v>2</v>
      </c>
      <c r="B3" s="8" t="s">
        <v>23</v>
      </c>
      <c r="C3" s="8" t="s">
        <v>24</v>
      </c>
      <c r="D3" s="8" t="s">
        <v>25</v>
      </c>
      <c r="E3" s="8" t="s">
        <v>42</v>
      </c>
      <c r="F3" s="10" t="s">
        <v>43</v>
      </c>
      <c r="G3" s="6">
        <v>7</v>
      </c>
      <c r="H3" s="6">
        <v>15</v>
      </c>
      <c r="I3" s="8" t="s">
        <v>28</v>
      </c>
      <c r="J3" s="8" t="s">
        <v>29</v>
      </c>
      <c r="K3" s="8" t="s">
        <v>30</v>
      </c>
      <c r="L3" s="8" t="s">
        <v>31</v>
      </c>
      <c r="M3" s="8" t="s">
        <v>32</v>
      </c>
      <c r="N3" s="6"/>
      <c r="O3" s="8" t="s">
        <v>44</v>
      </c>
      <c r="P3" s="35" t="s">
        <v>45</v>
      </c>
      <c r="Q3" s="35" t="s">
        <v>35</v>
      </c>
      <c r="R3" s="36" t="s">
        <v>36</v>
      </c>
      <c r="S3" s="36" t="s">
        <v>37</v>
      </c>
      <c r="T3" s="37">
        <v>30</v>
      </c>
      <c r="U3" s="36" t="s">
        <v>39</v>
      </c>
      <c r="V3" s="36" t="s">
        <v>46</v>
      </c>
      <c r="W3" s="35" t="s">
        <v>41</v>
      </c>
    </row>
    <row r="4" spans="1:23" ht="75" customHeight="1" x14ac:dyDescent="0.3">
      <c r="A4" s="6">
        <v>3</v>
      </c>
      <c r="B4" s="8" t="s">
        <v>23</v>
      </c>
      <c r="C4" s="8" t="s">
        <v>24</v>
      </c>
      <c r="D4" s="8" t="s">
        <v>25</v>
      </c>
      <c r="E4" s="8" t="s">
        <v>47</v>
      </c>
      <c r="F4" s="8" t="s">
        <v>32</v>
      </c>
      <c r="G4" s="6" t="s">
        <v>32</v>
      </c>
      <c r="H4" s="6">
        <v>15</v>
      </c>
      <c r="I4" s="8" t="s">
        <v>28</v>
      </c>
      <c r="J4" s="8" t="s">
        <v>29</v>
      </c>
      <c r="K4" s="8" t="s">
        <v>30</v>
      </c>
      <c r="L4" s="8" t="s">
        <v>31</v>
      </c>
      <c r="M4" s="8" t="s">
        <v>32</v>
      </c>
      <c r="N4" s="6"/>
      <c r="O4" s="8" t="s">
        <v>48</v>
      </c>
      <c r="P4" s="35" t="s">
        <v>49</v>
      </c>
      <c r="Q4" s="35" t="s">
        <v>35</v>
      </c>
      <c r="R4" s="36" t="s">
        <v>36</v>
      </c>
      <c r="S4" s="36" t="s">
        <v>37</v>
      </c>
      <c r="T4" s="37">
        <v>30</v>
      </c>
      <c r="U4" s="36" t="s">
        <v>39</v>
      </c>
      <c r="V4" s="36" t="s">
        <v>50</v>
      </c>
      <c r="W4" s="35" t="s">
        <v>41</v>
      </c>
    </row>
    <row r="5" spans="1:23" ht="75" customHeight="1" x14ac:dyDescent="0.3">
      <c r="A5" s="6">
        <v>4</v>
      </c>
      <c r="B5" s="8" t="s">
        <v>23</v>
      </c>
      <c r="C5" s="8" t="s">
        <v>24</v>
      </c>
      <c r="D5" s="8" t="s">
        <v>25</v>
      </c>
      <c r="E5" s="8" t="s">
        <v>51</v>
      </c>
      <c r="F5" s="8" t="s">
        <v>32</v>
      </c>
      <c r="G5" s="6" t="s">
        <v>32</v>
      </c>
      <c r="H5" s="6">
        <v>15</v>
      </c>
      <c r="I5" s="8" t="s">
        <v>28</v>
      </c>
      <c r="J5" s="8" t="s">
        <v>29</v>
      </c>
      <c r="K5" s="8" t="s">
        <v>30</v>
      </c>
      <c r="L5" s="8" t="s">
        <v>31</v>
      </c>
      <c r="M5" s="8" t="s">
        <v>32</v>
      </c>
      <c r="N5" s="6"/>
      <c r="O5" s="8" t="s">
        <v>52</v>
      </c>
      <c r="P5" s="35" t="s">
        <v>53</v>
      </c>
      <c r="Q5" s="35" t="s">
        <v>35</v>
      </c>
      <c r="R5" s="36" t="s">
        <v>36</v>
      </c>
      <c r="S5" s="36" t="s">
        <v>37</v>
      </c>
      <c r="T5" s="37">
        <v>30</v>
      </c>
      <c r="U5" s="36" t="s">
        <v>39</v>
      </c>
      <c r="V5" s="36" t="s">
        <v>54</v>
      </c>
      <c r="W5" s="35" t="s">
        <v>41</v>
      </c>
    </row>
    <row r="6" spans="1:23" ht="75" customHeight="1" x14ac:dyDescent="0.3">
      <c r="A6" s="6">
        <v>5</v>
      </c>
      <c r="B6" s="8" t="s">
        <v>23</v>
      </c>
      <c r="C6" s="8" t="s">
        <v>24</v>
      </c>
      <c r="D6" s="8" t="s">
        <v>25</v>
      </c>
      <c r="E6" s="8" t="s">
        <v>55</v>
      </c>
      <c r="F6" s="8" t="s">
        <v>32</v>
      </c>
      <c r="G6" s="6" t="s">
        <v>32</v>
      </c>
      <c r="H6" s="6">
        <v>15</v>
      </c>
      <c r="I6" s="8" t="s">
        <v>28</v>
      </c>
      <c r="J6" s="8" t="s">
        <v>29</v>
      </c>
      <c r="K6" s="8" t="s">
        <v>30</v>
      </c>
      <c r="L6" s="8" t="s">
        <v>31</v>
      </c>
      <c r="M6" s="8" t="s">
        <v>32</v>
      </c>
      <c r="N6" s="6"/>
      <c r="O6" s="8" t="s">
        <v>56</v>
      </c>
      <c r="P6" s="35" t="s">
        <v>57</v>
      </c>
      <c r="Q6" s="35" t="s">
        <v>35</v>
      </c>
      <c r="R6" s="36" t="s">
        <v>36</v>
      </c>
      <c r="S6" s="36" t="s">
        <v>37</v>
      </c>
      <c r="T6" s="37">
        <v>30</v>
      </c>
      <c r="U6" s="36" t="s">
        <v>39</v>
      </c>
      <c r="V6" s="36" t="s">
        <v>58</v>
      </c>
      <c r="W6" s="35" t="s">
        <v>41</v>
      </c>
    </row>
    <row r="7" spans="1:23" ht="75" customHeight="1" x14ac:dyDescent="0.3">
      <c r="A7" s="6">
        <v>6</v>
      </c>
      <c r="B7" s="8" t="s">
        <v>23</v>
      </c>
      <c r="C7" s="8" t="s">
        <v>24</v>
      </c>
      <c r="D7" s="8" t="s">
        <v>25</v>
      </c>
      <c r="E7" s="8" t="s">
        <v>59</v>
      </c>
      <c r="F7" s="8" t="s">
        <v>32</v>
      </c>
      <c r="G7" s="6" t="s">
        <v>32</v>
      </c>
      <c r="H7" s="6">
        <v>15</v>
      </c>
      <c r="I7" s="8" t="s">
        <v>28</v>
      </c>
      <c r="J7" s="8" t="s">
        <v>29</v>
      </c>
      <c r="K7" s="8" t="s">
        <v>30</v>
      </c>
      <c r="L7" s="8" t="s">
        <v>31</v>
      </c>
      <c r="M7" s="8" t="s">
        <v>32</v>
      </c>
      <c r="N7" s="6"/>
      <c r="O7" s="8" t="s">
        <v>60</v>
      </c>
      <c r="P7" s="35" t="s">
        <v>61</v>
      </c>
      <c r="Q7" s="35" t="s">
        <v>35</v>
      </c>
      <c r="R7" s="36" t="s">
        <v>36</v>
      </c>
      <c r="S7" s="36" t="s">
        <v>37</v>
      </c>
      <c r="T7" s="37">
        <v>30</v>
      </c>
      <c r="U7" s="36" t="s">
        <v>39</v>
      </c>
      <c r="V7" s="36" t="s">
        <v>62</v>
      </c>
      <c r="W7" s="35" t="s">
        <v>41</v>
      </c>
    </row>
    <row r="8" spans="1:23" ht="75" customHeight="1" x14ac:dyDescent="0.3">
      <c r="A8" s="15">
        <v>7</v>
      </c>
      <c r="B8" s="16" t="s">
        <v>23</v>
      </c>
      <c r="C8" s="16" t="s">
        <v>24</v>
      </c>
      <c r="D8" s="16" t="s">
        <v>63</v>
      </c>
      <c r="E8" s="16" t="s">
        <v>64</v>
      </c>
      <c r="F8" s="16" t="s">
        <v>32</v>
      </c>
      <c r="G8" s="15" t="s">
        <v>32</v>
      </c>
      <c r="H8" s="15">
        <v>15</v>
      </c>
      <c r="I8" s="16" t="s">
        <v>65</v>
      </c>
      <c r="J8" s="16" t="s">
        <v>66</v>
      </c>
      <c r="K8" s="16" t="s">
        <v>67</v>
      </c>
      <c r="L8" s="16" t="s">
        <v>68</v>
      </c>
      <c r="M8" s="16" t="s">
        <v>69</v>
      </c>
      <c r="N8" s="15"/>
      <c r="O8" s="16" t="s">
        <v>70</v>
      </c>
      <c r="P8" s="35" t="s">
        <v>71</v>
      </c>
      <c r="Q8" s="35" t="s">
        <v>72</v>
      </c>
      <c r="R8" s="36" t="s">
        <v>73</v>
      </c>
      <c r="S8" s="36" t="s">
        <v>74</v>
      </c>
      <c r="T8" s="37">
        <v>30</v>
      </c>
      <c r="U8" s="36" t="s">
        <v>76</v>
      </c>
      <c r="V8" s="36" t="s">
        <v>77</v>
      </c>
      <c r="W8" s="35" t="s">
        <v>41</v>
      </c>
    </row>
    <row r="9" spans="1:23" ht="75" customHeight="1" x14ac:dyDescent="0.3">
      <c r="A9" s="6">
        <v>8</v>
      </c>
      <c r="B9" s="8" t="s">
        <v>78</v>
      </c>
      <c r="C9" s="8" t="s">
        <v>24</v>
      </c>
      <c r="D9" s="8" t="s">
        <v>25</v>
      </c>
      <c r="E9" s="8" t="s">
        <v>79</v>
      </c>
      <c r="F9" s="8" t="s">
        <v>32</v>
      </c>
      <c r="G9" s="6" t="s">
        <v>32</v>
      </c>
      <c r="H9" s="6">
        <v>15</v>
      </c>
      <c r="I9" s="8" t="s">
        <v>28</v>
      </c>
      <c r="J9" s="8" t="s">
        <v>29</v>
      </c>
      <c r="K9" s="8" t="s">
        <v>30</v>
      </c>
      <c r="L9" s="8" t="s">
        <v>31</v>
      </c>
      <c r="M9" s="8" t="s">
        <v>32</v>
      </c>
      <c r="N9" s="6"/>
      <c r="O9" s="8" t="s">
        <v>80</v>
      </c>
      <c r="P9" s="35" t="s">
        <v>81</v>
      </c>
      <c r="Q9" s="35" t="s">
        <v>35</v>
      </c>
      <c r="R9" s="36" t="s">
        <v>36</v>
      </c>
      <c r="S9" s="36" t="s">
        <v>37</v>
      </c>
      <c r="T9" s="37">
        <v>30</v>
      </c>
      <c r="U9" s="36" t="s">
        <v>39</v>
      </c>
      <c r="V9" s="36" t="s">
        <v>82</v>
      </c>
      <c r="W9" s="35" t="s">
        <v>41</v>
      </c>
    </row>
    <row r="10" spans="1:23" ht="75" customHeight="1" x14ac:dyDescent="0.3">
      <c r="A10" s="6">
        <v>9</v>
      </c>
      <c r="B10" s="8" t="s">
        <v>78</v>
      </c>
      <c r="C10" s="8" t="s">
        <v>24</v>
      </c>
      <c r="D10" s="8" t="s">
        <v>25</v>
      </c>
      <c r="E10" s="8" t="s">
        <v>83</v>
      </c>
      <c r="F10" s="8" t="s">
        <v>32</v>
      </c>
      <c r="G10" s="6" t="s">
        <v>32</v>
      </c>
      <c r="H10" s="6">
        <v>15</v>
      </c>
      <c r="I10" s="8" t="s">
        <v>28</v>
      </c>
      <c r="J10" s="8" t="s">
        <v>29</v>
      </c>
      <c r="K10" s="8" t="s">
        <v>30</v>
      </c>
      <c r="L10" s="8" t="s">
        <v>31</v>
      </c>
      <c r="M10" s="8" t="s">
        <v>32</v>
      </c>
      <c r="N10" s="6"/>
      <c r="O10" s="8" t="s">
        <v>84</v>
      </c>
      <c r="P10" s="35" t="s">
        <v>85</v>
      </c>
      <c r="Q10" s="35" t="s">
        <v>35</v>
      </c>
      <c r="R10" s="36" t="s">
        <v>36</v>
      </c>
      <c r="S10" s="36" t="s">
        <v>37</v>
      </c>
      <c r="T10" s="37">
        <v>30</v>
      </c>
      <c r="U10" s="36" t="s">
        <v>39</v>
      </c>
      <c r="V10" s="36" t="s">
        <v>86</v>
      </c>
      <c r="W10" s="35" t="s">
        <v>41</v>
      </c>
    </row>
    <row r="11" spans="1:23" ht="75" customHeight="1" x14ac:dyDescent="0.3">
      <c r="A11" s="6">
        <v>10</v>
      </c>
      <c r="B11" s="8" t="s">
        <v>78</v>
      </c>
      <c r="C11" s="8" t="s">
        <v>24</v>
      </c>
      <c r="D11" s="8" t="s">
        <v>25</v>
      </c>
      <c r="E11" s="8" t="s">
        <v>87</v>
      </c>
      <c r="F11" s="8" t="s">
        <v>32</v>
      </c>
      <c r="G11" s="6" t="s">
        <v>32</v>
      </c>
      <c r="H11" s="6">
        <v>15</v>
      </c>
      <c r="I11" s="8" t="s">
        <v>28</v>
      </c>
      <c r="J11" s="8" t="s">
        <v>29</v>
      </c>
      <c r="K11" s="8" t="s">
        <v>30</v>
      </c>
      <c r="L11" s="8" t="s">
        <v>31</v>
      </c>
      <c r="M11" s="8" t="s">
        <v>32</v>
      </c>
      <c r="N11" s="6"/>
      <c r="O11" s="8" t="s">
        <v>88</v>
      </c>
      <c r="P11" s="35" t="s">
        <v>89</v>
      </c>
      <c r="Q11" s="35" t="s">
        <v>35</v>
      </c>
      <c r="R11" s="36" t="s">
        <v>36</v>
      </c>
      <c r="S11" s="36" t="s">
        <v>37</v>
      </c>
      <c r="T11" s="37">
        <v>30</v>
      </c>
      <c r="U11" s="36" t="s">
        <v>39</v>
      </c>
      <c r="V11" s="36" t="s">
        <v>90</v>
      </c>
      <c r="W11" s="35" t="s">
        <v>41</v>
      </c>
    </row>
    <row r="12" spans="1:23" ht="75" customHeight="1" x14ac:dyDescent="0.3">
      <c r="A12" s="17">
        <v>11</v>
      </c>
      <c r="B12" s="18" t="s">
        <v>78</v>
      </c>
      <c r="C12" s="18" t="s">
        <v>91</v>
      </c>
      <c r="D12" s="18" t="s">
        <v>25</v>
      </c>
      <c r="E12" s="18" t="s">
        <v>92</v>
      </c>
      <c r="F12" s="19" t="s">
        <v>93</v>
      </c>
      <c r="G12" s="17">
        <v>11</v>
      </c>
      <c r="H12" s="17">
        <v>26</v>
      </c>
      <c r="I12" s="18" t="s">
        <v>94</v>
      </c>
      <c r="J12" s="18" t="s">
        <v>95</v>
      </c>
      <c r="K12" s="18" t="s">
        <v>96</v>
      </c>
      <c r="L12" s="18" t="s">
        <v>97</v>
      </c>
      <c r="M12" s="18" t="s">
        <v>98</v>
      </c>
      <c r="N12" s="17"/>
      <c r="O12" s="18"/>
      <c r="P12" s="35" t="s">
        <v>99</v>
      </c>
      <c r="Q12" s="35" t="s">
        <v>100</v>
      </c>
      <c r="R12" s="36" t="s">
        <v>101</v>
      </c>
      <c r="S12" s="36" t="s">
        <v>102</v>
      </c>
      <c r="T12" s="37">
        <v>30</v>
      </c>
      <c r="U12" s="36" t="s">
        <v>39</v>
      </c>
      <c r="V12" s="36" t="s">
        <v>103</v>
      </c>
      <c r="W12" s="35" t="s">
        <v>41</v>
      </c>
    </row>
    <row r="13" spans="1:23" ht="75" customHeight="1" x14ac:dyDescent="0.3">
      <c r="A13" s="17">
        <v>12</v>
      </c>
      <c r="B13" s="18" t="s">
        <v>78</v>
      </c>
      <c r="C13" s="18" t="s">
        <v>91</v>
      </c>
      <c r="D13" s="18" t="s">
        <v>25</v>
      </c>
      <c r="E13" s="18" t="s">
        <v>104</v>
      </c>
      <c r="F13" s="19" t="s">
        <v>105</v>
      </c>
      <c r="G13" s="17">
        <v>11</v>
      </c>
      <c r="H13" s="17">
        <v>37</v>
      </c>
      <c r="I13" s="18" t="s">
        <v>94</v>
      </c>
      <c r="J13" s="18" t="s">
        <v>106</v>
      </c>
      <c r="K13" s="18" t="s">
        <v>107</v>
      </c>
      <c r="L13" s="18" t="s">
        <v>97</v>
      </c>
      <c r="M13" s="18" t="s">
        <v>98</v>
      </c>
      <c r="N13" s="17"/>
      <c r="O13" s="18"/>
      <c r="P13" s="35" t="s">
        <v>108</v>
      </c>
      <c r="Q13" s="35" t="s">
        <v>100</v>
      </c>
      <c r="R13" s="36" t="s">
        <v>109</v>
      </c>
      <c r="S13" s="36" t="s">
        <v>102</v>
      </c>
      <c r="T13" s="37">
        <v>30</v>
      </c>
      <c r="U13" s="36" t="s">
        <v>39</v>
      </c>
      <c r="V13" s="36" t="s">
        <v>103</v>
      </c>
      <c r="W13" s="35" t="s">
        <v>41</v>
      </c>
    </row>
    <row r="14" spans="1:23" ht="75" customHeight="1" x14ac:dyDescent="0.3">
      <c r="A14" s="17">
        <v>13</v>
      </c>
      <c r="B14" s="18" t="s">
        <v>78</v>
      </c>
      <c r="C14" s="18" t="s">
        <v>91</v>
      </c>
      <c r="D14" s="18" t="s">
        <v>25</v>
      </c>
      <c r="E14" s="18" t="s">
        <v>110</v>
      </c>
      <c r="F14" s="19" t="s">
        <v>111</v>
      </c>
      <c r="G14" s="17">
        <v>11</v>
      </c>
      <c r="H14" s="17">
        <v>48</v>
      </c>
      <c r="I14" s="18" t="s">
        <v>94</v>
      </c>
      <c r="J14" s="18" t="s">
        <v>112</v>
      </c>
      <c r="K14" s="18" t="s">
        <v>113</v>
      </c>
      <c r="L14" s="18" t="s">
        <v>97</v>
      </c>
      <c r="M14" s="18" t="s">
        <v>98</v>
      </c>
      <c r="N14" s="17"/>
      <c r="O14" s="18"/>
      <c r="P14" s="35" t="s">
        <v>114</v>
      </c>
      <c r="Q14" s="35" t="s">
        <v>115</v>
      </c>
      <c r="R14" s="36" t="s">
        <v>116</v>
      </c>
      <c r="S14" s="36" t="s">
        <v>102</v>
      </c>
      <c r="T14" s="37">
        <v>30</v>
      </c>
      <c r="U14" s="36" t="s">
        <v>39</v>
      </c>
      <c r="V14" s="36" t="s">
        <v>103</v>
      </c>
      <c r="W14" s="35" t="s">
        <v>41</v>
      </c>
    </row>
    <row r="15" spans="1:23" ht="75" customHeight="1" x14ac:dyDescent="0.3">
      <c r="A15" s="15">
        <v>14</v>
      </c>
      <c r="B15" s="16" t="s">
        <v>78</v>
      </c>
      <c r="C15" s="16" t="s">
        <v>91</v>
      </c>
      <c r="D15" s="16" t="s">
        <v>63</v>
      </c>
      <c r="E15" s="16" t="s">
        <v>117</v>
      </c>
      <c r="F15" s="16" t="s">
        <v>32</v>
      </c>
      <c r="G15" s="15" t="s">
        <v>32</v>
      </c>
      <c r="H15" s="15">
        <v>48</v>
      </c>
      <c r="I15" s="16" t="s">
        <v>65</v>
      </c>
      <c r="J15" s="16" t="s">
        <v>66</v>
      </c>
      <c r="K15" s="16" t="s">
        <v>67</v>
      </c>
      <c r="L15" s="16" t="s">
        <v>68</v>
      </c>
      <c r="M15" s="16" t="s">
        <v>69</v>
      </c>
      <c r="N15" s="15"/>
      <c r="O15" s="16" t="s">
        <v>70</v>
      </c>
      <c r="P15" s="35" t="s">
        <v>118</v>
      </c>
      <c r="Q15" s="35" t="s">
        <v>72</v>
      </c>
      <c r="R15" s="36" t="s">
        <v>73</v>
      </c>
      <c r="S15" s="36" t="s">
        <v>74</v>
      </c>
      <c r="T15" s="37">
        <v>30</v>
      </c>
      <c r="U15" s="36" t="s">
        <v>76</v>
      </c>
      <c r="V15" s="36" t="s">
        <v>103</v>
      </c>
      <c r="W15" s="35" t="s">
        <v>41</v>
      </c>
    </row>
    <row r="16" spans="1:23" ht="75" customHeight="1" x14ac:dyDescent="0.3">
      <c r="A16" s="17">
        <v>15</v>
      </c>
      <c r="B16" s="18" t="s">
        <v>119</v>
      </c>
      <c r="C16" s="18" t="s">
        <v>91</v>
      </c>
      <c r="D16" s="18" t="s">
        <v>25</v>
      </c>
      <c r="E16" s="18" t="s">
        <v>120</v>
      </c>
      <c r="F16" s="19" t="s">
        <v>121</v>
      </c>
      <c r="G16" s="17">
        <v>11</v>
      </c>
      <c r="H16" s="17">
        <v>59</v>
      </c>
      <c r="I16" s="18" t="s">
        <v>94</v>
      </c>
      <c r="J16" s="18" t="s">
        <v>95</v>
      </c>
      <c r="K16" s="18" t="s">
        <v>96</v>
      </c>
      <c r="L16" s="18" t="s">
        <v>97</v>
      </c>
      <c r="M16" s="18" t="s">
        <v>98</v>
      </c>
      <c r="N16" s="17"/>
      <c r="O16" s="18"/>
      <c r="P16" s="35" t="s">
        <v>122</v>
      </c>
      <c r="Q16" s="35" t="s">
        <v>100</v>
      </c>
      <c r="R16" s="36" t="s">
        <v>109</v>
      </c>
      <c r="S16" s="36" t="s">
        <v>102</v>
      </c>
      <c r="T16" s="37">
        <v>30</v>
      </c>
      <c r="U16" s="36" t="s">
        <v>39</v>
      </c>
      <c r="V16" s="36" t="s">
        <v>103</v>
      </c>
      <c r="W16" s="35" t="s">
        <v>41</v>
      </c>
    </row>
    <row r="17" spans="1:23" ht="75" customHeight="1" x14ac:dyDescent="0.3">
      <c r="A17" s="17">
        <v>16</v>
      </c>
      <c r="B17" s="18" t="s">
        <v>119</v>
      </c>
      <c r="C17" s="18" t="s">
        <v>91</v>
      </c>
      <c r="D17" s="18" t="s">
        <v>25</v>
      </c>
      <c r="E17" s="18" t="s">
        <v>123</v>
      </c>
      <c r="F17" s="19" t="s">
        <v>124</v>
      </c>
      <c r="G17" s="17">
        <v>11</v>
      </c>
      <c r="H17" s="17">
        <v>70</v>
      </c>
      <c r="I17" s="18" t="s">
        <v>94</v>
      </c>
      <c r="J17" s="18" t="s">
        <v>106</v>
      </c>
      <c r="K17" s="18" t="s">
        <v>107</v>
      </c>
      <c r="L17" s="18" t="s">
        <v>97</v>
      </c>
      <c r="M17" s="18" t="s">
        <v>98</v>
      </c>
      <c r="N17" s="17"/>
      <c r="O17" s="18"/>
      <c r="P17" s="35" t="s">
        <v>125</v>
      </c>
      <c r="Q17" s="35" t="s">
        <v>115</v>
      </c>
      <c r="R17" s="36" t="s">
        <v>116</v>
      </c>
      <c r="S17" s="36" t="s">
        <v>102</v>
      </c>
      <c r="T17" s="37">
        <v>30</v>
      </c>
      <c r="U17" s="36" t="s">
        <v>39</v>
      </c>
      <c r="V17" s="36" t="s">
        <v>103</v>
      </c>
      <c r="W17" s="35" t="s">
        <v>41</v>
      </c>
    </row>
    <row r="18" spans="1:23" ht="75" customHeight="1" x14ac:dyDescent="0.3">
      <c r="A18" s="17">
        <v>17</v>
      </c>
      <c r="B18" s="18" t="s">
        <v>119</v>
      </c>
      <c r="C18" s="18" t="s">
        <v>91</v>
      </c>
      <c r="D18" s="18" t="s">
        <v>25</v>
      </c>
      <c r="E18" s="18" t="s">
        <v>126</v>
      </c>
      <c r="F18" s="19" t="s">
        <v>127</v>
      </c>
      <c r="G18" s="17">
        <v>11</v>
      </c>
      <c r="H18" s="17">
        <v>81</v>
      </c>
      <c r="I18" s="18" t="s">
        <v>94</v>
      </c>
      <c r="J18" s="18" t="s">
        <v>112</v>
      </c>
      <c r="K18" s="18" t="s">
        <v>113</v>
      </c>
      <c r="L18" s="18" t="s">
        <v>97</v>
      </c>
      <c r="M18" s="18" t="s">
        <v>98</v>
      </c>
      <c r="N18" s="17"/>
      <c r="O18" s="18"/>
      <c r="P18" s="35" t="s">
        <v>128</v>
      </c>
      <c r="Q18" s="35" t="s">
        <v>100</v>
      </c>
      <c r="R18" s="36" t="s">
        <v>101</v>
      </c>
      <c r="S18" s="36" t="s">
        <v>102</v>
      </c>
      <c r="T18" s="37">
        <v>30</v>
      </c>
      <c r="U18" s="36" t="s">
        <v>39</v>
      </c>
      <c r="V18" s="36" t="s">
        <v>103</v>
      </c>
      <c r="W18" s="35" t="s">
        <v>41</v>
      </c>
    </row>
    <row r="19" spans="1:23" ht="75" customHeight="1" x14ac:dyDescent="0.3">
      <c r="A19" s="17">
        <v>18</v>
      </c>
      <c r="B19" s="18" t="s">
        <v>119</v>
      </c>
      <c r="C19" s="18" t="s">
        <v>91</v>
      </c>
      <c r="D19" s="18" t="s">
        <v>25</v>
      </c>
      <c r="E19" s="18" t="s">
        <v>129</v>
      </c>
      <c r="F19" s="19" t="s">
        <v>130</v>
      </c>
      <c r="G19" s="17">
        <v>11</v>
      </c>
      <c r="H19" s="17">
        <v>92</v>
      </c>
      <c r="I19" s="18" t="s">
        <v>94</v>
      </c>
      <c r="J19" s="18" t="s">
        <v>131</v>
      </c>
      <c r="K19" s="18" t="s">
        <v>132</v>
      </c>
      <c r="L19" s="18" t="s">
        <v>97</v>
      </c>
      <c r="M19" s="18" t="s">
        <v>98</v>
      </c>
      <c r="N19" s="17"/>
      <c r="O19" s="18"/>
      <c r="P19" s="35" t="s">
        <v>133</v>
      </c>
      <c r="Q19" s="35" t="s">
        <v>100</v>
      </c>
      <c r="R19" s="36" t="s">
        <v>109</v>
      </c>
      <c r="S19" s="36" t="s">
        <v>102</v>
      </c>
      <c r="T19" s="37">
        <v>30</v>
      </c>
      <c r="U19" s="36" t="s">
        <v>39</v>
      </c>
      <c r="V19" s="36" t="s">
        <v>103</v>
      </c>
      <c r="W19" s="35" t="s">
        <v>41</v>
      </c>
    </row>
    <row r="20" spans="1:23" ht="75" customHeight="1" x14ac:dyDescent="0.3">
      <c r="A20" s="17">
        <v>19</v>
      </c>
      <c r="B20" s="18" t="s">
        <v>119</v>
      </c>
      <c r="C20" s="18" t="s">
        <v>91</v>
      </c>
      <c r="D20" s="18" t="s">
        <v>25</v>
      </c>
      <c r="E20" s="18" t="s">
        <v>134</v>
      </c>
      <c r="F20" s="19" t="s">
        <v>135</v>
      </c>
      <c r="G20" s="17">
        <v>11</v>
      </c>
      <c r="H20" s="17">
        <v>103</v>
      </c>
      <c r="I20" s="18" t="s">
        <v>94</v>
      </c>
      <c r="J20" s="18" t="s">
        <v>95</v>
      </c>
      <c r="K20" s="18" t="s">
        <v>96</v>
      </c>
      <c r="L20" s="18" t="s">
        <v>97</v>
      </c>
      <c r="M20" s="18" t="s">
        <v>98</v>
      </c>
      <c r="N20" s="17"/>
      <c r="O20" s="18"/>
      <c r="P20" s="35" t="s">
        <v>136</v>
      </c>
      <c r="Q20" s="35" t="s">
        <v>115</v>
      </c>
      <c r="R20" s="36" t="s">
        <v>116</v>
      </c>
      <c r="S20" s="36" t="s">
        <v>102</v>
      </c>
      <c r="T20" s="37">
        <v>30</v>
      </c>
      <c r="U20" s="36" t="s">
        <v>39</v>
      </c>
      <c r="V20" s="36" t="s">
        <v>103</v>
      </c>
      <c r="W20" s="35" t="s">
        <v>41</v>
      </c>
    </row>
    <row r="21" spans="1:23" ht="75" customHeight="1" x14ac:dyDescent="0.3">
      <c r="A21" s="17">
        <v>20</v>
      </c>
      <c r="B21" s="18" t="s">
        <v>119</v>
      </c>
      <c r="C21" s="18" t="s">
        <v>91</v>
      </c>
      <c r="D21" s="18" t="s">
        <v>25</v>
      </c>
      <c r="E21" s="18" t="s">
        <v>137</v>
      </c>
      <c r="F21" s="19" t="s">
        <v>138</v>
      </c>
      <c r="G21" s="17">
        <v>11</v>
      </c>
      <c r="H21" s="17">
        <v>114</v>
      </c>
      <c r="I21" s="18" t="s">
        <v>94</v>
      </c>
      <c r="J21" s="18" t="s">
        <v>106</v>
      </c>
      <c r="K21" s="18" t="s">
        <v>107</v>
      </c>
      <c r="L21" s="18" t="s">
        <v>97</v>
      </c>
      <c r="M21" s="18" t="s">
        <v>98</v>
      </c>
      <c r="N21" s="17"/>
      <c r="O21" s="18"/>
      <c r="P21" s="35" t="s">
        <v>139</v>
      </c>
      <c r="Q21" s="35" t="s">
        <v>100</v>
      </c>
      <c r="R21" s="36" t="s">
        <v>101</v>
      </c>
      <c r="S21" s="36" t="s">
        <v>102</v>
      </c>
      <c r="T21" s="37">
        <v>30</v>
      </c>
      <c r="U21" s="36" t="s">
        <v>39</v>
      </c>
      <c r="V21" s="36" t="s">
        <v>103</v>
      </c>
      <c r="W21" s="35" t="s">
        <v>41</v>
      </c>
    </row>
    <row r="22" spans="1:23" ht="75" customHeight="1" x14ac:dyDescent="0.3">
      <c r="A22" s="15">
        <v>21</v>
      </c>
      <c r="B22" s="16" t="s">
        <v>119</v>
      </c>
      <c r="C22" s="16" t="s">
        <v>91</v>
      </c>
      <c r="D22" s="16" t="s">
        <v>63</v>
      </c>
      <c r="E22" s="16" t="s">
        <v>140</v>
      </c>
      <c r="F22" s="16" t="s">
        <v>32</v>
      </c>
      <c r="G22" s="15" t="s">
        <v>32</v>
      </c>
      <c r="H22" s="15">
        <v>114</v>
      </c>
      <c r="I22" s="16" t="s">
        <v>65</v>
      </c>
      <c r="J22" s="16" t="s">
        <v>66</v>
      </c>
      <c r="K22" s="16" t="s">
        <v>67</v>
      </c>
      <c r="L22" s="16" t="s">
        <v>68</v>
      </c>
      <c r="M22" s="16" t="s">
        <v>69</v>
      </c>
      <c r="N22" s="15"/>
      <c r="O22" s="16" t="s">
        <v>70</v>
      </c>
      <c r="P22" s="35" t="s">
        <v>141</v>
      </c>
      <c r="Q22" s="35" t="s">
        <v>72</v>
      </c>
      <c r="R22" s="36" t="s">
        <v>73</v>
      </c>
      <c r="S22" s="36" t="s">
        <v>74</v>
      </c>
      <c r="T22" s="37">
        <v>30</v>
      </c>
      <c r="U22" s="36" t="s">
        <v>76</v>
      </c>
      <c r="V22" s="36" t="s">
        <v>103</v>
      </c>
      <c r="W22" s="35" t="s">
        <v>41</v>
      </c>
    </row>
    <row r="23" spans="1:23" ht="75" customHeight="1" x14ac:dyDescent="0.3">
      <c r="A23" s="17">
        <v>22</v>
      </c>
      <c r="B23" s="18" t="s">
        <v>142</v>
      </c>
      <c r="C23" s="18" t="s">
        <v>91</v>
      </c>
      <c r="D23" s="18" t="s">
        <v>25</v>
      </c>
      <c r="E23" s="18" t="s">
        <v>143</v>
      </c>
      <c r="F23" s="19" t="s">
        <v>144</v>
      </c>
      <c r="G23" s="17">
        <v>11</v>
      </c>
      <c r="H23" s="17">
        <v>125</v>
      </c>
      <c r="I23" s="18" t="s">
        <v>94</v>
      </c>
      <c r="J23" s="18" t="s">
        <v>131</v>
      </c>
      <c r="K23" s="18" t="s">
        <v>132</v>
      </c>
      <c r="L23" s="18" t="s">
        <v>97</v>
      </c>
      <c r="M23" s="18" t="s">
        <v>98</v>
      </c>
      <c r="N23" s="17"/>
      <c r="O23" s="18"/>
      <c r="P23" s="35" t="s">
        <v>145</v>
      </c>
      <c r="Q23" s="35" t="s">
        <v>115</v>
      </c>
      <c r="R23" s="36" t="s">
        <v>116</v>
      </c>
      <c r="S23" s="36" t="s">
        <v>102</v>
      </c>
      <c r="T23" s="37">
        <v>30</v>
      </c>
      <c r="U23" s="36" t="s">
        <v>39</v>
      </c>
      <c r="V23" s="36" t="s">
        <v>103</v>
      </c>
      <c r="W23" s="35" t="s">
        <v>41</v>
      </c>
    </row>
    <row r="24" spans="1:23" ht="75" customHeight="1" x14ac:dyDescent="0.3">
      <c r="A24" s="17">
        <v>23</v>
      </c>
      <c r="B24" s="18" t="s">
        <v>142</v>
      </c>
      <c r="C24" s="18" t="s">
        <v>91</v>
      </c>
      <c r="D24" s="18" t="s">
        <v>25</v>
      </c>
      <c r="E24" s="18" t="s">
        <v>146</v>
      </c>
      <c r="F24" s="19" t="s">
        <v>147</v>
      </c>
      <c r="G24" s="17">
        <v>11</v>
      </c>
      <c r="H24" s="17">
        <v>136</v>
      </c>
      <c r="I24" s="18" t="s">
        <v>94</v>
      </c>
      <c r="J24" s="18" t="s">
        <v>95</v>
      </c>
      <c r="K24" s="18" t="s">
        <v>96</v>
      </c>
      <c r="L24" s="18" t="s">
        <v>97</v>
      </c>
      <c r="M24" s="18" t="s">
        <v>98</v>
      </c>
      <c r="N24" s="17"/>
      <c r="O24" s="18"/>
      <c r="P24" s="35" t="s">
        <v>148</v>
      </c>
      <c r="Q24" s="35" t="s">
        <v>100</v>
      </c>
      <c r="R24" s="36" t="s">
        <v>101</v>
      </c>
      <c r="S24" s="36" t="s">
        <v>102</v>
      </c>
      <c r="T24" s="37">
        <v>30</v>
      </c>
      <c r="U24" s="36" t="s">
        <v>39</v>
      </c>
      <c r="V24" s="36" t="s">
        <v>103</v>
      </c>
      <c r="W24" s="35" t="s">
        <v>41</v>
      </c>
    </row>
    <row r="25" spans="1:23" ht="75" customHeight="1" x14ac:dyDescent="0.3">
      <c r="A25" s="17">
        <v>24</v>
      </c>
      <c r="B25" s="18" t="s">
        <v>142</v>
      </c>
      <c r="C25" s="18" t="s">
        <v>91</v>
      </c>
      <c r="D25" s="18" t="s">
        <v>25</v>
      </c>
      <c r="E25" s="18" t="s">
        <v>149</v>
      </c>
      <c r="F25" s="19" t="s">
        <v>150</v>
      </c>
      <c r="G25" s="17">
        <v>11</v>
      </c>
      <c r="H25" s="17">
        <v>147</v>
      </c>
      <c r="I25" s="18" t="s">
        <v>94</v>
      </c>
      <c r="J25" s="18" t="s">
        <v>106</v>
      </c>
      <c r="K25" s="18" t="s">
        <v>107</v>
      </c>
      <c r="L25" s="18" t="s">
        <v>97</v>
      </c>
      <c r="M25" s="18" t="s">
        <v>98</v>
      </c>
      <c r="N25" s="17"/>
      <c r="O25" s="18"/>
      <c r="P25" s="35" t="s">
        <v>151</v>
      </c>
      <c r="Q25" s="35" t="s">
        <v>100</v>
      </c>
      <c r="R25" s="36" t="s">
        <v>109</v>
      </c>
      <c r="S25" s="36" t="s">
        <v>102</v>
      </c>
      <c r="T25" s="37">
        <v>30</v>
      </c>
      <c r="U25" s="36" t="s">
        <v>39</v>
      </c>
      <c r="V25" s="36" t="s">
        <v>103</v>
      </c>
      <c r="W25" s="35" t="s">
        <v>41</v>
      </c>
    </row>
    <row r="26" spans="1:23" ht="75" customHeight="1" x14ac:dyDescent="0.3">
      <c r="A26" s="17">
        <v>25</v>
      </c>
      <c r="B26" s="18" t="s">
        <v>142</v>
      </c>
      <c r="C26" s="18" t="s">
        <v>91</v>
      </c>
      <c r="D26" s="18" t="s">
        <v>25</v>
      </c>
      <c r="E26" s="18" t="s">
        <v>152</v>
      </c>
      <c r="F26" s="19" t="s">
        <v>153</v>
      </c>
      <c r="G26" s="17">
        <v>11</v>
      </c>
      <c r="H26" s="17">
        <v>158</v>
      </c>
      <c r="I26" s="18" t="s">
        <v>94</v>
      </c>
      <c r="J26" s="18" t="s">
        <v>112</v>
      </c>
      <c r="K26" s="18" t="s">
        <v>113</v>
      </c>
      <c r="L26" s="18" t="s">
        <v>97</v>
      </c>
      <c r="M26" s="18" t="s">
        <v>98</v>
      </c>
      <c r="N26" s="17"/>
      <c r="O26" s="18"/>
      <c r="P26" s="35" t="s">
        <v>154</v>
      </c>
      <c r="Q26" s="35" t="s">
        <v>115</v>
      </c>
      <c r="R26" s="36" t="s">
        <v>116</v>
      </c>
      <c r="S26" s="36" t="s">
        <v>102</v>
      </c>
      <c r="T26" s="37">
        <v>30</v>
      </c>
      <c r="U26" s="36" t="s">
        <v>39</v>
      </c>
      <c r="V26" s="36" t="s">
        <v>103</v>
      </c>
      <c r="W26" s="35" t="s">
        <v>41</v>
      </c>
    </row>
    <row r="27" spans="1:23" ht="75" customHeight="1" x14ac:dyDescent="0.3">
      <c r="A27" s="17">
        <v>26</v>
      </c>
      <c r="B27" s="18" t="s">
        <v>142</v>
      </c>
      <c r="C27" s="18" t="s">
        <v>91</v>
      </c>
      <c r="D27" s="18" t="s">
        <v>25</v>
      </c>
      <c r="E27" s="18" t="s">
        <v>155</v>
      </c>
      <c r="F27" s="19" t="s">
        <v>156</v>
      </c>
      <c r="G27" s="17">
        <v>10</v>
      </c>
      <c r="H27" s="17">
        <v>168</v>
      </c>
      <c r="I27" s="18" t="s">
        <v>94</v>
      </c>
      <c r="J27" s="18" t="s">
        <v>131</v>
      </c>
      <c r="K27" s="18" t="s">
        <v>132</v>
      </c>
      <c r="L27" s="18" t="s">
        <v>97</v>
      </c>
      <c r="M27" s="18" t="s">
        <v>98</v>
      </c>
      <c r="N27" s="17"/>
      <c r="O27" s="18"/>
      <c r="P27" s="35" t="s">
        <v>157</v>
      </c>
      <c r="Q27" s="35" t="s">
        <v>100</v>
      </c>
      <c r="R27" s="36" t="s">
        <v>101</v>
      </c>
      <c r="S27" s="36" t="s">
        <v>102</v>
      </c>
      <c r="T27" s="37">
        <v>30</v>
      </c>
      <c r="U27" s="36" t="s">
        <v>39</v>
      </c>
      <c r="V27" s="36" t="s">
        <v>103</v>
      </c>
      <c r="W27" s="35" t="s">
        <v>41</v>
      </c>
    </row>
    <row r="28" spans="1:23" ht="75" customHeight="1" x14ac:dyDescent="0.3">
      <c r="A28" s="17">
        <v>27</v>
      </c>
      <c r="B28" s="18" t="s">
        <v>142</v>
      </c>
      <c r="C28" s="18" t="s">
        <v>91</v>
      </c>
      <c r="D28" s="18" t="s">
        <v>25</v>
      </c>
      <c r="E28" s="18" t="s">
        <v>158</v>
      </c>
      <c r="F28" s="19" t="s">
        <v>159</v>
      </c>
      <c r="G28" s="17">
        <v>10</v>
      </c>
      <c r="H28" s="17">
        <v>178</v>
      </c>
      <c r="I28" s="18" t="s">
        <v>94</v>
      </c>
      <c r="J28" s="18" t="s">
        <v>95</v>
      </c>
      <c r="K28" s="18" t="s">
        <v>96</v>
      </c>
      <c r="L28" s="18" t="s">
        <v>97</v>
      </c>
      <c r="M28" s="18" t="s">
        <v>98</v>
      </c>
      <c r="N28" s="17"/>
      <c r="O28" s="18"/>
      <c r="P28" s="35" t="s">
        <v>160</v>
      </c>
      <c r="Q28" s="35" t="s">
        <v>100</v>
      </c>
      <c r="R28" s="36" t="s">
        <v>109</v>
      </c>
      <c r="S28" s="36" t="s">
        <v>102</v>
      </c>
      <c r="T28" s="37">
        <v>30</v>
      </c>
      <c r="U28" s="36" t="s">
        <v>39</v>
      </c>
      <c r="V28" s="36" t="s">
        <v>103</v>
      </c>
      <c r="W28" s="35" t="s">
        <v>41</v>
      </c>
    </row>
    <row r="29" spans="1:23" ht="75" customHeight="1" x14ac:dyDescent="0.3">
      <c r="A29" s="15">
        <v>28</v>
      </c>
      <c r="B29" s="16" t="s">
        <v>142</v>
      </c>
      <c r="C29" s="16" t="s">
        <v>91</v>
      </c>
      <c r="D29" s="16" t="s">
        <v>63</v>
      </c>
      <c r="E29" s="16" t="s">
        <v>161</v>
      </c>
      <c r="F29" s="16" t="s">
        <v>32</v>
      </c>
      <c r="G29" s="15" t="s">
        <v>32</v>
      </c>
      <c r="H29" s="15">
        <v>178</v>
      </c>
      <c r="I29" s="16" t="s">
        <v>65</v>
      </c>
      <c r="J29" s="16" t="s">
        <v>66</v>
      </c>
      <c r="K29" s="16" t="s">
        <v>67</v>
      </c>
      <c r="L29" s="16" t="s">
        <v>68</v>
      </c>
      <c r="M29" s="16" t="s">
        <v>69</v>
      </c>
      <c r="N29" s="15"/>
      <c r="O29" s="16" t="s">
        <v>70</v>
      </c>
      <c r="P29" s="35" t="s">
        <v>162</v>
      </c>
      <c r="Q29" s="35" t="s">
        <v>72</v>
      </c>
      <c r="R29" s="36" t="s">
        <v>73</v>
      </c>
      <c r="S29" s="36" t="s">
        <v>74</v>
      </c>
      <c r="T29" s="37">
        <v>30</v>
      </c>
      <c r="U29" s="36" t="s">
        <v>76</v>
      </c>
      <c r="V29" s="36" t="s">
        <v>103</v>
      </c>
      <c r="W29" s="35" t="s">
        <v>41</v>
      </c>
    </row>
    <row r="30" spans="1:23" ht="75" customHeight="1" x14ac:dyDescent="0.3">
      <c r="A30" s="17">
        <v>29</v>
      </c>
      <c r="B30" s="18" t="s">
        <v>163</v>
      </c>
      <c r="C30" s="18" t="s">
        <v>91</v>
      </c>
      <c r="D30" s="18" t="s">
        <v>25</v>
      </c>
      <c r="E30" s="18" t="s">
        <v>164</v>
      </c>
      <c r="F30" s="19" t="s">
        <v>165</v>
      </c>
      <c r="G30" s="17">
        <v>10</v>
      </c>
      <c r="H30" s="17">
        <v>188</v>
      </c>
      <c r="I30" s="18" t="s">
        <v>94</v>
      </c>
      <c r="J30" s="18" t="s">
        <v>112</v>
      </c>
      <c r="K30" s="18" t="s">
        <v>113</v>
      </c>
      <c r="L30" s="18" t="s">
        <v>97</v>
      </c>
      <c r="M30" s="18" t="s">
        <v>98</v>
      </c>
      <c r="N30" s="17"/>
      <c r="O30" s="18"/>
      <c r="P30" s="35" t="s">
        <v>166</v>
      </c>
      <c r="Q30" s="35" t="s">
        <v>100</v>
      </c>
      <c r="R30" s="36" t="s">
        <v>101</v>
      </c>
      <c r="S30" s="36" t="s">
        <v>102</v>
      </c>
      <c r="T30" s="37">
        <v>30</v>
      </c>
      <c r="U30" s="36" t="s">
        <v>39</v>
      </c>
      <c r="V30" s="36" t="s">
        <v>103</v>
      </c>
      <c r="W30" s="35" t="s">
        <v>41</v>
      </c>
    </row>
    <row r="31" spans="1:23" ht="75" customHeight="1" x14ac:dyDescent="0.3">
      <c r="A31" s="17">
        <v>30</v>
      </c>
      <c r="B31" s="18" t="s">
        <v>163</v>
      </c>
      <c r="C31" s="18" t="s">
        <v>91</v>
      </c>
      <c r="D31" s="18" t="s">
        <v>25</v>
      </c>
      <c r="E31" s="18" t="s">
        <v>167</v>
      </c>
      <c r="F31" s="19" t="s">
        <v>168</v>
      </c>
      <c r="G31" s="17">
        <v>10</v>
      </c>
      <c r="H31" s="17">
        <v>198</v>
      </c>
      <c r="I31" s="18" t="s">
        <v>94</v>
      </c>
      <c r="J31" s="18" t="s">
        <v>131</v>
      </c>
      <c r="K31" s="18" t="s">
        <v>132</v>
      </c>
      <c r="L31" s="18" t="s">
        <v>97</v>
      </c>
      <c r="M31" s="18" t="s">
        <v>98</v>
      </c>
      <c r="N31" s="17"/>
      <c r="O31" s="18"/>
      <c r="P31" s="35" t="s">
        <v>169</v>
      </c>
      <c r="Q31" s="35" t="s">
        <v>100</v>
      </c>
      <c r="R31" s="36" t="s">
        <v>109</v>
      </c>
      <c r="S31" s="36" t="s">
        <v>102</v>
      </c>
      <c r="T31" s="37">
        <v>30</v>
      </c>
      <c r="U31" s="36" t="s">
        <v>39</v>
      </c>
      <c r="V31" s="36" t="s">
        <v>103</v>
      </c>
      <c r="W31" s="35" t="s">
        <v>41</v>
      </c>
    </row>
    <row r="32" spans="1:23" ht="75" customHeight="1" x14ac:dyDescent="0.3">
      <c r="A32" s="17">
        <v>31</v>
      </c>
      <c r="B32" s="18" t="s">
        <v>163</v>
      </c>
      <c r="C32" s="18" t="s">
        <v>91</v>
      </c>
      <c r="D32" s="18" t="s">
        <v>25</v>
      </c>
      <c r="E32" s="18" t="s">
        <v>170</v>
      </c>
      <c r="F32" s="19" t="s">
        <v>171</v>
      </c>
      <c r="G32" s="17">
        <v>10</v>
      </c>
      <c r="H32" s="17">
        <v>208</v>
      </c>
      <c r="I32" s="18" t="s">
        <v>94</v>
      </c>
      <c r="J32" s="18" t="s">
        <v>95</v>
      </c>
      <c r="K32" s="18" t="s">
        <v>96</v>
      </c>
      <c r="L32" s="18" t="s">
        <v>97</v>
      </c>
      <c r="M32" s="18" t="s">
        <v>98</v>
      </c>
      <c r="N32" s="17"/>
      <c r="O32" s="18"/>
      <c r="P32" s="35" t="s">
        <v>172</v>
      </c>
      <c r="Q32" s="35" t="s">
        <v>115</v>
      </c>
      <c r="R32" s="36" t="s">
        <v>116</v>
      </c>
      <c r="S32" s="36" t="s">
        <v>102</v>
      </c>
      <c r="T32" s="37">
        <v>30</v>
      </c>
      <c r="U32" s="36" t="s">
        <v>39</v>
      </c>
      <c r="V32" s="36" t="s">
        <v>103</v>
      </c>
      <c r="W32" s="35" t="s">
        <v>41</v>
      </c>
    </row>
    <row r="33" spans="1:23" ht="75" customHeight="1" x14ac:dyDescent="0.3">
      <c r="A33" s="17">
        <v>32</v>
      </c>
      <c r="B33" s="18" t="s">
        <v>163</v>
      </c>
      <c r="C33" s="18" t="s">
        <v>91</v>
      </c>
      <c r="D33" s="18" t="s">
        <v>25</v>
      </c>
      <c r="E33" s="18" t="s">
        <v>173</v>
      </c>
      <c r="F33" s="19" t="s">
        <v>174</v>
      </c>
      <c r="G33" s="17">
        <v>10</v>
      </c>
      <c r="H33" s="17">
        <v>218</v>
      </c>
      <c r="I33" s="18" t="s">
        <v>94</v>
      </c>
      <c r="J33" s="18" t="s">
        <v>106</v>
      </c>
      <c r="K33" s="18" t="s">
        <v>107</v>
      </c>
      <c r="L33" s="18" t="s">
        <v>97</v>
      </c>
      <c r="M33" s="18" t="s">
        <v>98</v>
      </c>
      <c r="N33" s="17"/>
      <c r="O33" s="18"/>
      <c r="P33" s="35" t="s">
        <v>175</v>
      </c>
      <c r="Q33" s="35" t="s">
        <v>100</v>
      </c>
      <c r="R33" s="36" t="s">
        <v>101</v>
      </c>
      <c r="S33" s="36" t="s">
        <v>102</v>
      </c>
      <c r="T33" s="37">
        <v>30</v>
      </c>
      <c r="U33" s="36" t="s">
        <v>39</v>
      </c>
      <c r="V33" s="36" t="s">
        <v>103</v>
      </c>
      <c r="W33" s="35" t="s">
        <v>41</v>
      </c>
    </row>
    <row r="34" spans="1:23" ht="75" customHeight="1" x14ac:dyDescent="0.3">
      <c r="A34" s="17">
        <v>33</v>
      </c>
      <c r="B34" s="18" t="s">
        <v>163</v>
      </c>
      <c r="C34" s="18" t="s">
        <v>91</v>
      </c>
      <c r="D34" s="18" t="s">
        <v>25</v>
      </c>
      <c r="E34" s="18" t="s">
        <v>176</v>
      </c>
      <c r="F34" s="19" t="s">
        <v>177</v>
      </c>
      <c r="G34" s="17">
        <v>10</v>
      </c>
      <c r="H34" s="17">
        <v>228</v>
      </c>
      <c r="I34" s="18" t="s">
        <v>94</v>
      </c>
      <c r="J34" s="18" t="s">
        <v>112</v>
      </c>
      <c r="K34" s="18" t="s">
        <v>113</v>
      </c>
      <c r="L34" s="18" t="s">
        <v>97</v>
      </c>
      <c r="M34" s="18" t="s">
        <v>98</v>
      </c>
      <c r="N34" s="17"/>
      <c r="O34" s="18"/>
      <c r="P34" s="35" t="s">
        <v>178</v>
      </c>
      <c r="Q34" s="35" t="s">
        <v>100</v>
      </c>
      <c r="R34" s="36" t="s">
        <v>109</v>
      </c>
      <c r="S34" s="36" t="s">
        <v>102</v>
      </c>
      <c r="T34" s="37">
        <v>30</v>
      </c>
      <c r="U34" s="36" t="s">
        <v>39</v>
      </c>
      <c r="V34" s="36" t="s">
        <v>103</v>
      </c>
      <c r="W34" s="35" t="s">
        <v>41</v>
      </c>
    </row>
    <row r="35" spans="1:23" ht="75" customHeight="1" x14ac:dyDescent="0.3">
      <c r="A35" s="17">
        <v>34</v>
      </c>
      <c r="B35" s="18" t="s">
        <v>163</v>
      </c>
      <c r="C35" s="18" t="s">
        <v>91</v>
      </c>
      <c r="D35" s="18" t="s">
        <v>25</v>
      </c>
      <c r="E35" s="18" t="s">
        <v>179</v>
      </c>
      <c r="F35" s="19" t="s">
        <v>180</v>
      </c>
      <c r="G35" s="17">
        <v>10</v>
      </c>
      <c r="H35" s="17">
        <v>238</v>
      </c>
      <c r="I35" s="18" t="s">
        <v>94</v>
      </c>
      <c r="J35" s="18" t="s">
        <v>131</v>
      </c>
      <c r="K35" s="18" t="s">
        <v>132</v>
      </c>
      <c r="L35" s="18" t="s">
        <v>97</v>
      </c>
      <c r="M35" s="18" t="s">
        <v>98</v>
      </c>
      <c r="N35" s="17"/>
      <c r="O35" s="18"/>
      <c r="P35" s="35" t="s">
        <v>181</v>
      </c>
      <c r="Q35" s="35" t="s">
        <v>115</v>
      </c>
      <c r="R35" s="36" t="s">
        <v>116</v>
      </c>
      <c r="S35" s="36" t="s">
        <v>102</v>
      </c>
      <c r="T35" s="37">
        <v>30</v>
      </c>
      <c r="U35" s="36" t="s">
        <v>39</v>
      </c>
      <c r="V35" s="36" t="s">
        <v>103</v>
      </c>
      <c r="W35" s="35" t="s">
        <v>41</v>
      </c>
    </row>
    <row r="36" spans="1:23" ht="75" customHeight="1" x14ac:dyDescent="0.3">
      <c r="A36" s="15">
        <v>35</v>
      </c>
      <c r="B36" s="16" t="s">
        <v>163</v>
      </c>
      <c r="C36" s="16" t="s">
        <v>91</v>
      </c>
      <c r="D36" s="16" t="s">
        <v>63</v>
      </c>
      <c r="E36" s="16" t="s">
        <v>182</v>
      </c>
      <c r="F36" s="16" t="s">
        <v>32</v>
      </c>
      <c r="G36" s="15" t="s">
        <v>32</v>
      </c>
      <c r="H36" s="15">
        <v>238</v>
      </c>
      <c r="I36" s="16" t="s">
        <v>65</v>
      </c>
      <c r="J36" s="16" t="s">
        <v>66</v>
      </c>
      <c r="K36" s="16" t="s">
        <v>67</v>
      </c>
      <c r="L36" s="16" t="s">
        <v>68</v>
      </c>
      <c r="M36" s="16" t="s">
        <v>69</v>
      </c>
      <c r="N36" s="15"/>
      <c r="O36" s="16" t="s">
        <v>70</v>
      </c>
      <c r="P36" s="35" t="s">
        <v>183</v>
      </c>
      <c r="Q36" s="35" t="s">
        <v>72</v>
      </c>
      <c r="R36" s="36" t="s">
        <v>73</v>
      </c>
      <c r="S36" s="36" t="s">
        <v>74</v>
      </c>
      <c r="T36" s="37">
        <v>30</v>
      </c>
      <c r="U36" s="36" t="s">
        <v>76</v>
      </c>
      <c r="V36" s="36" t="s">
        <v>103</v>
      </c>
      <c r="W36" s="35" t="s">
        <v>41</v>
      </c>
    </row>
    <row r="37" spans="1:23" ht="75" customHeight="1" x14ac:dyDescent="0.3">
      <c r="A37" s="26">
        <v>36</v>
      </c>
      <c r="B37" s="27" t="s">
        <v>184</v>
      </c>
      <c r="C37" s="27" t="s">
        <v>185</v>
      </c>
      <c r="D37" s="27" t="s">
        <v>25</v>
      </c>
      <c r="E37" s="27" t="s">
        <v>186</v>
      </c>
      <c r="F37" s="28" t="s">
        <v>187</v>
      </c>
      <c r="G37" s="26">
        <v>8</v>
      </c>
      <c r="H37" s="26">
        <v>246</v>
      </c>
      <c r="I37" s="27" t="s">
        <v>188</v>
      </c>
      <c r="J37" s="27" t="s">
        <v>106</v>
      </c>
      <c r="K37" s="27" t="s">
        <v>107</v>
      </c>
      <c r="L37" s="27" t="s">
        <v>97</v>
      </c>
      <c r="M37" s="27" t="s">
        <v>98</v>
      </c>
      <c r="N37" s="26"/>
      <c r="O37" s="27"/>
      <c r="P37" s="35" t="s">
        <v>189</v>
      </c>
      <c r="Q37" s="35" t="s">
        <v>100</v>
      </c>
      <c r="R37" s="36" t="s">
        <v>109</v>
      </c>
      <c r="S37" s="36" t="s">
        <v>102</v>
      </c>
      <c r="T37" s="37">
        <v>30</v>
      </c>
      <c r="U37" s="36" t="s">
        <v>39</v>
      </c>
      <c r="V37" s="36" t="s">
        <v>190</v>
      </c>
      <c r="W37" s="35" t="s">
        <v>41</v>
      </c>
    </row>
    <row r="38" spans="1:23" ht="75" customHeight="1" x14ac:dyDescent="0.3">
      <c r="A38" s="26">
        <v>37</v>
      </c>
      <c r="B38" s="27" t="s">
        <v>184</v>
      </c>
      <c r="C38" s="27" t="s">
        <v>185</v>
      </c>
      <c r="D38" s="27" t="s">
        <v>25</v>
      </c>
      <c r="E38" s="27" t="s">
        <v>191</v>
      </c>
      <c r="F38" s="28" t="s">
        <v>192</v>
      </c>
      <c r="G38" s="26">
        <v>8</v>
      </c>
      <c r="H38" s="26">
        <v>254</v>
      </c>
      <c r="I38" s="27" t="s">
        <v>188</v>
      </c>
      <c r="J38" s="27" t="s">
        <v>112</v>
      </c>
      <c r="K38" s="27" t="s">
        <v>113</v>
      </c>
      <c r="L38" s="27" t="s">
        <v>97</v>
      </c>
      <c r="M38" s="27" t="s">
        <v>98</v>
      </c>
      <c r="N38" s="26"/>
      <c r="O38" s="27"/>
      <c r="P38" s="35" t="s">
        <v>193</v>
      </c>
      <c r="Q38" s="35" t="s">
        <v>115</v>
      </c>
      <c r="R38" s="36" t="s">
        <v>116</v>
      </c>
      <c r="S38" s="36" t="s">
        <v>102</v>
      </c>
      <c r="T38" s="37">
        <v>30</v>
      </c>
      <c r="U38" s="36" t="s">
        <v>39</v>
      </c>
      <c r="V38" s="36" t="s">
        <v>190</v>
      </c>
      <c r="W38" s="35" t="s">
        <v>41</v>
      </c>
    </row>
    <row r="39" spans="1:23" ht="75" customHeight="1" x14ac:dyDescent="0.3">
      <c r="A39" s="26">
        <v>38</v>
      </c>
      <c r="B39" s="27" t="s">
        <v>184</v>
      </c>
      <c r="C39" s="27" t="s">
        <v>185</v>
      </c>
      <c r="D39" s="27" t="s">
        <v>25</v>
      </c>
      <c r="E39" s="27" t="s">
        <v>194</v>
      </c>
      <c r="F39" s="28" t="s">
        <v>195</v>
      </c>
      <c r="G39" s="26">
        <v>8</v>
      </c>
      <c r="H39" s="26">
        <v>262</v>
      </c>
      <c r="I39" s="27" t="s">
        <v>188</v>
      </c>
      <c r="J39" s="27" t="s">
        <v>131</v>
      </c>
      <c r="K39" s="27" t="s">
        <v>132</v>
      </c>
      <c r="L39" s="27" t="s">
        <v>97</v>
      </c>
      <c r="M39" s="27" t="s">
        <v>98</v>
      </c>
      <c r="N39" s="26"/>
      <c r="O39" s="27"/>
      <c r="P39" s="35" t="s">
        <v>196</v>
      </c>
      <c r="Q39" s="35" t="s">
        <v>100</v>
      </c>
      <c r="R39" s="36" t="s">
        <v>101</v>
      </c>
      <c r="S39" s="36" t="s">
        <v>102</v>
      </c>
      <c r="T39" s="37">
        <v>30</v>
      </c>
      <c r="U39" s="36" t="s">
        <v>39</v>
      </c>
      <c r="V39" s="36" t="s">
        <v>190</v>
      </c>
      <c r="W39" s="35" t="s">
        <v>41</v>
      </c>
    </row>
    <row r="40" spans="1:23" ht="75" customHeight="1" x14ac:dyDescent="0.3">
      <c r="A40" s="26">
        <v>39</v>
      </c>
      <c r="B40" s="27" t="s">
        <v>184</v>
      </c>
      <c r="C40" s="27" t="s">
        <v>185</v>
      </c>
      <c r="D40" s="27" t="s">
        <v>25</v>
      </c>
      <c r="E40" s="27" t="s">
        <v>197</v>
      </c>
      <c r="F40" s="28" t="s">
        <v>198</v>
      </c>
      <c r="G40" s="26">
        <v>8</v>
      </c>
      <c r="H40" s="26">
        <v>270</v>
      </c>
      <c r="I40" s="27" t="s">
        <v>188</v>
      </c>
      <c r="J40" s="27" t="s">
        <v>95</v>
      </c>
      <c r="K40" s="27" t="s">
        <v>96</v>
      </c>
      <c r="L40" s="27" t="s">
        <v>97</v>
      </c>
      <c r="M40" s="27" t="s">
        <v>98</v>
      </c>
      <c r="N40" s="26"/>
      <c r="O40" s="27"/>
      <c r="P40" s="35" t="s">
        <v>199</v>
      </c>
      <c r="Q40" s="35" t="s">
        <v>100</v>
      </c>
      <c r="R40" s="36" t="s">
        <v>109</v>
      </c>
      <c r="S40" s="36" t="s">
        <v>102</v>
      </c>
      <c r="T40" s="37">
        <v>30</v>
      </c>
      <c r="U40" s="36" t="s">
        <v>39</v>
      </c>
      <c r="V40" s="36" t="s">
        <v>190</v>
      </c>
      <c r="W40" s="35" t="s">
        <v>41</v>
      </c>
    </row>
    <row r="41" spans="1:23" ht="75" customHeight="1" x14ac:dyDescent="0.3">
      <c r="A41" s="26">
        <v>40</v>
      </c>
      <c r="B41" s="27" t="s">
        <v>184</v>
      </c>
      <c r="C41" s="27" t="s">
        <v>185</v>
      </c>
      <c r="D41" s="27" t="s">
        <v>25</v>
      </c>
      <c r="E41" s="27" t="s">
        <v>200</v>
      </c>
      <c r="F41" s="28" t="s">
        <v>201</v>
      </c>
      <c r="G41" s="26">
        <v>8</v>
      </c>
      <c r="H41" s="26">
        <v>278</v>
      </c>
      <c r="I41" s="27" t="s">
        <v>188</v>
      </c>
      <c r="J41" s="27" t="s">
        <v>106</v>
      </c>
      <c r="K41" s="27" t="s">
        <v>107</v>
      </c>
      <c r="L41" s="27" t="s">
        <v>97</v>
      </c>
      <c r="M41" s="27" t="s">
        <v>98</v>
      </c>
      <c r="N41" s="26"/>
      <c r="O41" s="27"/>
      <c r="P41" s="35" t="s">
        <v>202</v>
      </c>
      <c r="Q41" s="35" t="s">
        <v>115</v>
      </c>
      <c r="R41" s="36" t="s">
        <v>116</v>
      </c>
      <c r="S41" s="36" t="s">
        <v>102</v>
      </c>
      <c r="T41" s="37">
        <v>30</v>
      </c>
      <c r="U41" s="36" t="s">
        <v>39</v>
      </c>
      <c r="V41" s="36" t="s">
        <v>190</v>
      </c>
      <c r="W41" s="35" t="s">
        <v>41</v>
      </c>
    </row>
    <row r="42" spans="1:23" ht="75" customHeight="1" x14ac:dyDescent="0.3">
      <c r="A42" s="26">
        <v>41</v>
      </c>
      <c r="B42" s="27" t="s">
        <v>184</v>
      </c>
      <c r="C42" s="27" t="s">
        <v>185</v>
      </c>
      <c r="D42" s="27" t="s">
        <v>25</v>
      </c>
      <c r="E42" s="27" t="s">
        <v>203</v>
      </c>
      <c r="F42" s="28" t="s">
        <v>204</v>
      </c>
      <c r="G42" s="26">
        <v>8</v>
      </c>
      <c r="H42" s="26">
        <v>286</v>
      </c>
      <c r="I42" s="27" t="s">
        <v>188</v>
      </c>
      <c r="J42" s="27" t="s">
        <v>112</v>
      </c>
      <c r="K42" s="27" t="s">
        <v>113</v>
      </c>
      <c r="L42" s="27" t="s">
        <v>97</v>
      </c>
      <c r="M42" s="27" t="s">
        <v>98</v>
      </c>
      <c r="N42" s="26"/>
      <c r="O42" s="27"/>
      <c r="P42" s="35" t="s">
        <v>205</v>
      </c>
      <c r="Q42" s="35" t="s">
        <v>100</v>
      </c>
      <c r="R42" s="36" t="s">
        <v>101</v>
      </c>
      <c r="S42" s="36" t="s">
        <v>102</v>
      </c>
      <c r="T42" s="37">
        <v>30</v>
      </c>
      <c r="U42" s="36" t="s">
        <v>39</v>
      </c>
      <c r="V42" s="36" t="s">
        <v>190</v>
      </c>
      <c r="W42" s="35" t="s">
        <v>41</v>
      </c>
    </row>
    <row r="43" spans="1:23" ht="75" customHeight="1" x14ac:dyDescent="0.3">
      <c r="A43" s="15">
        <v>42</v>
      </c>
      <c r="B43" s="16" t="s">
        <v>184</v>
      </c>
      <c r="C43" s="16" t="s">
        <v>185</v>
      </c>
      <c r="D43" s="16" t="s">
        <v>63</v>
      </c>
      <c r="E43" s="16" t="s">
        <v>206</v>
      </c>
      <c r="F43" s="16" t="s">
        <v>32</v>
      </c>
      <c r="G43" s="15" t="s">
        <v>32</v>
      </c>
      <c r="H43" s="15">
        <v>286</v>
      </c>
      <c r="I43" s="16" t="s">
        <v>65</v>
      </c>
      <c r="J43" s="16" t="s">
        <v>66</v>
      </c>
      <c r="K43" s="16" t="s">
        <v>67</v>
      </c>
      <c r="L43" s="16" t="s">
        <v>68</v>
      </c>
      <c r="M43" s="16" t="s">
        <v>69</v>
      </c>
      <c r="N43" s="15"/>
      <c r="O43" s="16" t="s">
        <v>70</v>
      </c>
      <c r="P43" s="35" t="s">
        <v>207</v>
      </c>
      <c r="Q43" s="35" t="s">
        <v>72</v>
      </c>
      <c r="R43" s="36" t="s">
        <v>73</v>
      </c>
      <c r="S43" s="36" t="s">
        <v>74</v>
      </c>
      <c r="T43" s="37">
        <v>30</v>
      </c>
      <c r="U43" s="36" t="s">
        <v>76</v>
      </c>
      <c r="V43" s="36" t="s">
        <v>190</v>
      </c>
      <c r="W43" s="35" t="s">
        <v>41</v>
      </c>
    </row>
    <row r="44" spans="1:23" ht="75" customHeight="1" x14ac:dyDescent="0.3">
      <c r="A44" s="26">
        <v>43</v>
      </c>
      <c r="B44" s="27" t="s">
        <v>208</v>
      </c>
      <c r="C44" s="27" t="s">
        <v>185</v>
      </c>
      <c r="D44" s="27" t="s">
        <v>25</v>
      </c>
      <c r="E44" s="27" t="s">
        <v>209</v>
      </c>
      <c r="F44" s="28" t="s">
        <v>210</v>
      </c>
      <c r="G44" s="26">
        <v>8</v>
      </c>
      <c r="H44" s="26">
        <v>294</v>
      </c>
      <c r="I44" s="27" t="s">
        <v>188</v>
      </c>
      <c r="J44" s="27" t="s">
        <v>95</v>
      </c>
      <c r="K44" s="27" t="s">
        <v>96</v>
      </c>
      <c r="L44" s="27" t="s">
        <v>97</v>
      </c>
      <c r="M44" s="27" t="s">
        <v>98</v>
      </c>
      <c r="N44" s="26"/>
      <c r="O44" s="27"/>
      <c r="P44" s="35" t="s">
        <v>211</v>
      </c>
      <c r="Q44" s="35" t="s">
        <v>115</v>
      </c>
      <c r="R44" s="36" t="s">
        <v>116</v>
      </c>
      <c r="S44" s="36" t="s">
        <v>102</v>
      </c>
      <c r="T44" s="37">
        <v>30</v>
      </c>
      <c r="U44" s="36" t="s">
        <v>39</v>
      </c>
      <c r="V44" s="36" t="s">
        <v>190</v>
      </c>
      <c r="W44" s="35" t="s">
        <v>41</v>
      </c>
    </row>
    <row r="45" spans="1:23" ht="75" customHeight="1" x14ac:dyDescent="0.3">
      <c r="A45" s="26">
        <v>44</v>
      </c>
      <c r="B45" s="27" t="s">
        <v>208</v>
      </c>
      <c r="C45" s="27" t="s">
        <v>185</v>
      </c>
      <c r="D45" s="27" t="s">
        <v>25</v>
      </c>
      <c r="E45" s="27" t="s">
        <v>212</v>
      </c>
      <c r="F45" s="28" t="s">
        <v>213</v>
      </c>
      <c r="G45" s="26">
        <v>8</v>
      </c>
      <c r="H45" s="26">
        <v>302</v>
      </c>
      <c r="I45" s="27" t="s">
        <v>188</v>
      </c>
      <c r="J45" s="27" t="s">
        <v>106</v>
      </c>
      <c r="K45" s="27" t="s">
        <v>107</v>
      </c>
      <c r="L45" s="27" t="s">
        <v>97</v>
      </c>
      <c r="M45" s="27" t="s">
        <v>98</v>
      </c>
      <c r="N45" s="26"/>
      <c r="O45" s="27"/>
      <c r="P45" s="35" t="s">
        <v>214</v>
      </c>
      <c r="Q45" s="35" t="s">
        <v>100</v>
      </c>
      <c r="R45" s="36" t="s">
        <v>101</v>
      </c>
      <c r="S45" s="36" t="s">
        <v>102</v>
      </c>
      <c r="T45" s="37">
        <v>30</v>
      </c>
      <c r="U45" s="36" t="s">
        <v>39</v>
      </c>
      <c r="V45" s="36" t="s">
        <v>190</v>
      </c>
      <c r="W45" s="35" t="s">
        <v>41</v>
      </c>
    </row>
    <row r="46" spans="1:23" ht="75" customHeight="1" x14ac:dyDescent="0.3">
      <c r="A46" s="26">
        <v>45</v>
      </c>
      <c r="B46" s="27" t="s">
        <v>208</v>
      </c>
      <c r="C46" s="27" t="s">
        <v>185</v>
      </c>
      <c r="D46" s="27" t="s">
        <v>25</v>
      </c>
      <c r="E46" s="27" t="s">
        <v>215</v>
      </c>
      <c r="F46" s="28" t="s">
        <v>216</v>
      </c>
      <c r="G46" s="26">
        <v>8</v>
      </c>
      <c r="H46" s="26">
        <v>310</v>
      </c>
      <c r="I46" s="27" t="s">
        <v>188</v>
      </c>
      <c r="J46" s="27" t="s">
        <v>112</v>
      </c>
      <c r="K46" s="27" t="s">
        <v>113</v>
      </c>
      <c r="L46" s="27" t="s">
        <v>97</v>
      </c>
      <c r="M46" s="27" t="s">
        <v>98</v>
      </c>
      <c r="N46" s="26"/>
      <c r="O46" s="27"/>
      <c r="P46" s="35" t="s">
        <v>217</v>
      </c>
      <c r="Q46" s="35" t="s">
        <v>100</v>
      </c>
      <c r="R46" s="36" t="s">
        <v>109</v>
      </c>
      <c r="S46" s="36" t="s">
        <v>102</v>
      </c>
      <c r="T46" s="37">
        <v>30</v>
      </c>
      <c r="U46" s="36" t="s">
        <v>39</v>
      </c>
      <c r="V46" s="36" t="s">
        <v>190</v>
      </c>
      <c r="W46" s="35" t="s">
        <v>41</v>
      </c>
    </row>
    <row r="47" spans="1:23" ht="75" customHeight="1" x14ac:dyDescent="0.3">
      <c r="A47" s="26">
        <v>46</v>
      </c>
      <c r="B47" s="27" t="s">
        <v>208</v>
      </c>
      <c r="C47" s="27" t="s">
        <v>185</v>
      </c>
      <c r="D47" s="27" t="s">
        <v>25</v>
      </c>
      <c r="E47" s="27" t="s">
        <v>218</v>
      </c>
      <c r="F47" s="28" t="s">
        <v>219</v>
      </c>
      <c r="G47" s="26">
        <v>8</v>
      </c>
      <c r="H47" s="26">
        <v>318</v>
      </c>
      <c r="I47" s="27" t="s">
        <v>188</v>
      </c>
      <c r="J47" s="27" t="s">
        <v>131</v>
      </c>
      <c r="K47" s="27" t="s">
        <v>132</v>
      </c>
      <c r="L47" s="27" t="s">
        <v>97</v>
      </c>
      <c r="M47" s="27" t="s">
        <v>98</v>
      </c>
      <c r="N47" s="26"/>
      <c r="O47" s="27"/>
      <c r="P47" s="35" t="s">
        <v>220</v>
      </c>
      <c r="Q47" s="35" t="s">
        <v>115</v>
      </c>
      <c r="R47" s="36" t="s">
        <v>116</v>
      </c>
      <c r="S47" s="36" t="s">
        <v>102</v>
      </c>
      <c r="T47" s="37">
        <v>30</v>
      </c>
      <c r="U47" s="36" t="s">
        <v>39</v>
      </c>
      <c r="V47" s="36" t="s">
        <v>190</v>
      </c>
      <c r="W47" s="35" t="s">
        <v>41</v>
      </c>
    </row>
    <row r="48" spans="1:23" ht="75" customHeight="1" x14ac:dyDescent="0.3">
      <c r="A48" s="26">
        <v>47</v>
      </c>
      <c r="B48" s="27" t="s">
        <v>208</v>
      </c>
      <c r="C48" s="27" t="s">
        <v>185</v>
      </c>
      <c r="D48" s="27" t="s">
        <v>25</v>
      </c>
      <c r="E48" s="27" t="s">
        <v>221</v>
      </c>
      <c r="F48" s="28" t="s">
        <v>222</v>
      </c>
      <c r="G48" s="26">
        <v>8</v>
      </c>
      <c r="H48" s="26">
        <v>326</v>
      </c>
      <c r="I48" s="27" t="s">
        <v>188</v>
      </c>
      <c r="J48" s="27" t="s">
        <v>95</v>
      </c>
      <c r="K48" s="27" t="s">
        <v>96</v>
      </c>
      <c r="L48" s="27" t="s">
        <v>97</v>
      </c>
      <c r="M48" s="27" t="s">
        <v>98</v>
      </c>
      <c r="N48" s="26"/>
      <c r="O48" s="27"/>
      <c r="P48" s="35" t="s">
        <v>223</v>
      </c>
      <c r="Q48" s="35" t="s">
        <v>100</v>
      </c>
      <c r="R48" s="36" t="s">
        <v>101</v>
      </c>
      <c r="S48" s="36" t="s">
        <v>102</v>
      </c>
      <c r="T48" s="37">
        <v>30</v>
      </c>
      <c r="U48" s="36" t="s">
        <v>39</v>
      </c>
      <c r="V48" s="36" t="s">
        <v>190</v>
      </c>
      <c r="W48" s="35" t="s">
        <v>41</v>
      </c>
    </row>
    <row r="49" spans="1:23" ht="75" customHeight="1" x14ac:dyDescent="0.3">
      <c r="A49" s="26">
        <v>48</v>
      </c>
      <c r="B49" s="27" t="s">
        <v>208</v>
      </c>
      <c r="C49" s="27" t="s">
        <v>185</v>
      </c>
      <c r="D49" s="27" t="s">
        <v>25</v>
      </c>
      <c r="E49" s="27" t="s">
        <v>224</v>
      </c>
      <c r="F49" s="28" t="s">
        <v>225</v>
      </c>
      <c r="G49" s="26">
        <v>8</v>
      </c>
      <c r="H49" s="26">
        <v>334</v>
      </c>
      <c r="I49" s="27" t="s">
        <v>188</v>
      </c>
      <c r="J49" s="27" t="s">
        <v>106</v>
      </c>
      <c r="K49" s="27" t="s">
        <v>107</v>
      </c>
      <c r="L49" s="27" t="s">
        <v>97</v>
      </c>
      <c r="M49" s="27" t="s">
        <v>98</v>
      </c>
      <c r="N49" s="26"/>
      <c r="O49" s="27"/>
      <c r="P49" s="35" t="s">
        <v>226</v>
      </c>
      <c r="Q49" s="35" t="s">
        <v>100</v>
      </c>
      <c r="R49" s="36" t="s">
        <v>109</v>
      </c>
      <c r="S49" s="36" t="s">
        <v>102</v>
      </c>
      <c r="T49" s="37">
        <v>30</v>
      </c>
      <c r="U49" s="36" t="s">
        <v>39</v>
      </c>
      <c r="V49" s="36" t="s">
        <v>190</v>
      </c>
      <c r="W49" s="35" t="s">
        <v>41</v>
      </c>
    </row>
    <row r="50" spans="1:23" ht="75" customHeight="1" x14ac:dyDescent="0.3">
      <c r="A50" s="15">
        <v>49</v>
      </c>
      <c r="B50" s="16" t="s">
        <v>208</v>
      </c>
      <c r="C50" s="16" t="s">
        <v>185</v>
      </c>
      <c r="D50" s="16" t="s">
        <v>63</v>
      </c>
      <c r="E50" s="16" t="s">
        <v>227</v>
      </c>
      <c r="F50" s="16" t="s">
        <v>32</v>
      </c>
      <c r="G50" s="15" t="s">
        <v>32</v>
      </c>
      <c r="H50" s="15">
        <v>334</v>
      </c>
      <c r="I50" s="16" t="s">
        <v>65</v>
      </c>
      <c r="J50" s="16" t="s">
        <v>66</v>
      </c>
      <c r="K50" s="16" t="s">
        <v>67</v>
      </c>
      <c r="L50" s="16" t="s">
        <v>68</v>
      </c>
      <c r="M50" s="16" t="s">
        <v>69</v>
      </c>
      <c r="N50" s="15"/>
      <c r="O50" s="16" t="s">
        <v>70</v>
      </c>
      <c r="P50" s="35" t="s">
        <v>228</v>
      </c>
      <c r="Q50" s="35" t="s">
        <v>72</v>
      </c>
      <c r="R50" s="36" t="s">
        <v>73</v>
      </c>
      <c r="S50" s="36" t="s">
        <v>74</v>
      </c>
      <c r="T50" s="37">
        <v>30</v>
      </c>
      <c r="U50" s="36" t="s">
        <v>76</v>
      </c>
      <c r="V50" s="36" t="s">
        <v>190</v>
      </c>
      <c r="W50" s="35" t="s">
        <v>41</v>
      </c>
    </row>
    <row r="51" spans="1:23" ht="75" customHeight="1" x14ac:dyDescent="0.3">
      <c r="A51" s="26">
        <v>50</v>
      </c>
      <c r="B51" s="27" t="s">
        <v>229</v>
      </c>
      <c r="C51" s="27" t="s">
        <v>185</v>
      </c>
      <c r="D51" s="27" t="s">
        <v>25</v>
      </c>
      <c r="E51" s="27" t="s">
        <v>230</v>
      </c>
      <c r="F51" s="28" t="s">
        <v>231</v>
      </c>
      <c r="G51" s="26">
        <v>8</v>
      </c>
      <c r="H51" s="26">
        <v>342</v>
      </c>
      <c r="I51" s="27" t="s">
        <v>188</v>
      </c>
      <c r="J51" s="27" t="s">
        <v>131</v>
      </c>
      <c r="K51" s="27" t="s">
        <v>132</v>
      </c>
      <c r="L51" s="27" t="s">
        <v>97</v>
      </c>
      <c r="M51" s="27" t="s">
        <v>98</v>
      </c>
      <c r="N51" s="26"/>
      <c r="O51" s="27"/>
      <c r="P51" s="35" t="s">
        <v>232</v>
      </c>
      <c r="Q51" s="35" t="s">
        <v>100</v>
      </c>
      <c r="R51" s="36" t="s">
        <v>101</v>
      </c>
      <c r="S51" s="36" t="s">
        <v>102</v>
      </c>
      <c r="T51" s="37">
        <v>30</v>
      </c>
      <c r="U51" s="36" t="s">
        <v>39</v>
      </c>
      <c r="V51" s="36" t="s">
        <v>190</v>
      </c>
      <c r="W51" s="35" t="s">
        <v>41</v>
      </c>
    </row>
    <row r="52" spans="1:23" ht="75" customHeight="1" x14ac:dyDescent="0.3">
      <c r="A52" s="26">
        <v>51</v>
      </c>
      <c r="B52" s="27" t="s">
        <v>229</v>
      </c>
      <c r="C52" s="27" t="s">
        <v>185</v>
      </c>
      <c r="D52" s="27" t="s">
        <v>25</v>
      </c>
      <c r="E52" s="27" t="s">
        <v>233</v>
      </c>
      <c r="F52" s="28" t="s">
        <v>234</v>
      </c>
      <c r="G52" s="26">
        <v>8</v>
      </c>
      <c r="H52" s="26">
        <v>350</v>
      </c>
      <c r="I52" s="27" t="s">
        <v>188</v>
      </c>
      <c r="J52" s="27" t="s">
        <v>95</v>
      </c>
      <c r="K52" s="27" t="s">
        <v>96</v>
      </c>
      <c r="L52" s="27" t="s">
        <v>97</v>
      </c>
      <c r="M52" s="27" t="s">
        <v>98</v>
      </c>
      <c r="N52" s="26"/>
      <c r="O52" s="27"/>
      <c r="P52" s="35" t="s">
        <v>235</v>
      </c>
      <c r="Q52" s="35" t="s">
        <v>100</v>
      </c>
      <c r="R52" s="36" t="s">
        <v>109</v>
      </c>
      <c r="S52" s="36" t="s">
        <v>102</v>
      </c>
      <c r="T52" s="37">
        <v>30</v>
      </c>
      <c r="U52" s="36" t="s">
        <v>39</v>
      </c>
      <c r="V52" s="36" t="s">
        <v>190</v>
      </c>
      <c r="W52" s="35" t="s">
        <v>41</v>
      </c>
    </row>
    <row r="53" spans="1:23" ht="75" customHeight="1" x14ac:dyDescent="0.3">
      <c r="A53" s="26">
        <v>52</v>
      </c>
      <c r="B53" s="27" t="s">
        <v>229</v>
      </c>
      <c r="C53" s="27" t="s">
        <v>185</v>
      </c>
      <c r="D53" s="27" t="s">
        <v>25</v>
      </c>
      <c r="E53" s="27" t="s">
        <v>236</v>
      </c>
      <c r="F53" s="28" t="s">
        <v>237</v>
      </c>
      <c r="G53" s="26">
        <v>8</v>
      </c>
      <c r="H53" s="26">
        <v>358</v>
      </c>
      <c r="I53" s="27" t="s">
        <v>188</v>
      </c>
      <c r="J53" s="27" t="s">
        <v>106</v>
      </c>
      <c r="K53" s="27" t="s">
        <v>107</v>
      </c>
      <c r="L53" s="27" t="s">
        <v>97</v>
      </c>
      <c r="M53" s="27" t="s">
        <v>98</v>
      </c>
      <c r="N53" s="26"/>
      <c r="O53" s="27"/>
      <c r="P53" s="35" t="s">
        <v>238</v>
      </c>
      <c r="Q53" s="35" t="s">
        <v>115</v>
      </c>
      <c r="R53" s="36" t="s">
        <v>116</v>
      </c>
      <c r="S53" s="36" t="s">
        <v>102</v>
      </c>
      <c r="T53" s="37">
        <v>30</v>
      </c>
      <c r="U53" s="36" t="s">
        <v>39</v>
      </c>
      <c r="V53" s="36" t="s">
        <v>190</v>
      </c>
      <c r="W53" s="35" t="s">
        <v>41</v>
      </c>
    </row>
    <row r="54" spans="1:23" ht="75" customHeight="1" x14ac:dyDescent="0.3">
      <c r="A54" s="26">
        <v>53</v>
      </c>
      <c r="B54" s="27" t="s">
        <v>229</v>
      </c>
      <c r="C54" s="27" t="s">
        <v>185</v>
      </c>
      <c r="D54" s="27" t="s">
        <v>25</v>
      </c>
      <c r="E54" s="27" t="s">
        <v>239</v>
      </c>
      <c r="F54" s="28" t="s">
        <v>240</v>
      </c>
      <c r="G54" s="26">
        <v>8</v>
      </c>
      <c r="H54" s="26">
        <v>366</v>
      </c>
      <c r="I54" s="27" t="s">
        <v>188</v>
      </c>
      <c r="J54" s="27" t="s">
        <v>112</v>
      </c>
      <c r="K54" s="27" t="s">
        <v>113</v>
      </c>
      <c r="L54" s="27" t="s">
        <v>97</v>
      </c>
      <c r="M54" s="27" t="s">
        <v>98</v>
      </c>
      <c r="N54" s="26"/>
      <c r="O54" s="27"/>
      <c r="P54" s="35" t="s">
        <v>241</v>
      </c>
      <c r="Q54" s="35" t="s">
        <v>100</v>
      </c>
      <c r="R54" s="36" t="s">
        <v>101</v>
      </c>
      <c r="S54" s="36" t="s">
        <v>102</v>
      </c>
      <c r="T54" s="37">
        <v>30</v>
      </c>
      <c r="U54" s="36" t="s">
        <v>39</v>
      </c>
      <c r="V54" s="36" t="s">
        <v>190</v>
      </c>
      <c r="W54" s="35" t="s">
        <v>41</v>
      </c>
    </row>
    <row r="55" spans="1:23" ht="75" customHeight="1" x14ac:dyDescent="0.3">
      <c r="A55" s="26">
        <v>54</v>
      </c>
      <c r="B55" s="27" t="s">
        <v>229</v>
      </c>
      <c r="C55" s="27" t="s">
        <v>185</v>
      </c>
      <c r="D55" s="27" t="s">
        <v>25</v>
      </c>
      <c r="E55" s="27" t="s">
        <v>242</v>
      </c>
      <c r="F55" s="28" t="s">
        <v>243</v>
      </c>
      <c r="G55" s="26">
        <v>8</v>
      </c>
      <c r="H55" s="26">
        <v>374</v>
      </c>
      <c r="I55" s="27" t="s">
        <v>188</v>
      </c>
      <c r="J55" s="27" t="s">
        <v>131</v>
      </c>
      <c r="K55" s="27" t="s">
        <v>132</v>
      </c>
      <c r="L55" s="27" t="s">
        <v>97</v>
      </c>
      <c r="M55" s="27" t="s">
        <v>98</v>
      </c>
      <c r="N55" s="26"/>
      <c r="O55" s="27"/>
      <c r="P55" s="35" t="s">
        <v>244</v>
      </c>
      <c r="Q55" s="35" t="s">
        <v>100</v>
      </c>
      <c r="R55" s="36" t="s">
        <v>109</v>
      </c>
      <c r="S55" s="36" t="s">
        <v>102</v>
      </c>
      <c r="T55" s="37">
        <v>30</v>
      </c>
      <c r="U55" s="36" t="s">
        <v>39</v>
      </c>
      <c r="V55" s="36" t="s">
        <v>190</v>
      </c>
      <c r="W55" s="35" t="s">
        <v>41</v>
      </c>
    </row>
    <row r="56" spans="1:23" ht="75" customHeight="1" x14ac:dyDescent="0.3">
      <c r="A56" s="26">
        <v>55</v>
      </c>
      <c r="B56" s="27" t="s">
        <v>229</v>
      </c>
      <c r="C56" s="27" t="s">
        <v>185</v>
      </c>
      <c r="D56" s="27" t="s">
        <v>25</v>
      </c>
      <c r="E56" s="27" t="s">
        <v>245</v>
      </c>
      <c r="F56" s="28" t="s">
        <v>246</v>
      </c>
      <c r="G56" s="26">
        <v>8</v>
      </c>
      <c r="H56" s="26">
        <v>382</v>
      </c>
      <c r="I56" s="27" t="s">
        <v>188</v>
      </c>
      <c r="J56" s="27" t="s">
        <v>95</v>
      </c>
      <c r="K56" s="27" t="s">
        <v>96</v>
      </c>
      <c r="L56" s="27" t="s">
        <v>97</v>
      </c>
      <c r="M56" s="27" t="s">
        <v>98</v>
      </c>
      <c r="N56" s="26"/>
      <c r="O56" s="27"/>
      <c r="P56" s="35" t="s">
        <v>247</v>
      </c>
      <c r="Q56" s="35" t="s">
        <v>115</v>
      </c>
      <c r="R56" s="36" t="s">
        <v>116</v>
      </c>
      <c r="S56" s="36" t="s">
        <v>102</v>
      </c>
      <c r="T56" s="37">
        <v>30</v>
      </c>
      <c r="U56" s="36" t="s">
        <v>39</v>
      </c>
      <c r="V56" s="36" t="s">
        <v>190</v>
      </c>
      <c r="W56" s="35" t="s">
        <v>41</v>
      </c>
    </row>
    <row r="57" spans="1:23" ht="75" customHeight="1" x14ac:dyDescent="0.3">
      <c r="A57" s="15">
        <v>56</v>
      </c>
      <c r="B57" s="16" t="s">
        <v>229</v>
      </c>
      <c r="C57" s="16" t="s">
        <v>185</v>
      </c>
      <c r="D57" s="16" t="s">
        <v>63</v>
      </c>
      <c r="E57" s="16" t="s">
        <v>248</v>
      </c>
      <c r="F57" s="16" t="s">
        <v>32</v>
      </c>
      <c r="G57" s="15" t="s">
        <v>32</v>
      </c>
      <c r="H57" s="15">
        <v>382</v>
      </c>
      <c r="I57" s="16" t="s">
        <v>65</v>
      </c>
      <c r="J57" s="16" t="s">
        <v>66</v>
      </c>
      <c r="K57" s="16" t="s">
        <v>67</v>
      </c>
      <c r="L57" s="16" t="s">
        <v>68</v>
      </c>
      <c r="M57" s="16" t="s">
        <v>69</v>
      </c>
      <c r="N57" s="15"/>
      <c r="O57" s="16" t="s">
        <v>70</v>
      </c>
      <c r="P57" s="35" t="s">
        <v>249</v>
      </c>
      <c r="Q57" s="35" t="s">
        <v>72</v>
      </c>
      <c r="R57" s="36" t="s">
        <v>73</v>
      </c>
      <c r="S57" s="36" t="s">
        <v>74</v>
      </c>
      <c r="T57" s="37">
        <v>30</v>
      </c>
      <c r="U57" s="36" t="s">
        <v>76</v>
      </c>
      <c r="V57" s="36" t="s">
        <v>190</v>
      </c>
      <c r="W57" s="35" t="s">
        <v>41</v>
      </c>
    </row>
    <row r="58" spans="1:23" ht="75" customHeight="1" x14ac:dyDescent="0.3">
      <c r="A58" s="26">
        <v>57</v>
      </c>
      <c r="B58" s="27" t="s">
        <v>250</v>
      </c>
      <c r="C58" s="27" t="s">
        <v>185</v>
      </c>
      <c r="D58" s="27" t="s">
        <v>25</v>
      </c>
      <c r="E58" s="27" t="s">
        <v>251</v>
      </c>
      <c r="F58" s="28" t="s">
        <v>252</v>
      </c>
      <c r="G58" s="26">
        <v>8</v>
      </c>
      <c r="H58" s="26">
        <v>390</v>
      </c>
      <c r="I58" s="27" t="s">
        <v>188</v>
      </c>
      <c r="J58" s="27" t="s">
        <v>112</v>
      </c>
      <c r="K58" s="27" t="s">
        <v>113</v>
      </c>
      <c r="L58" s="27" t="s">
        <v>97</v>
      </c>
      <c r="M58" s="27" t="s">
        <v>98</v>
      </c>
      <c r="N58" s="26"/>
      <c r="O58" s="27"/>
      <c r="P58" s="35" t="s">
        <v>253</v>
      </c>
      <c r="Q58" s="35" t="s">
        <v>100</v>
      </c>
      <c r="R58" s="36" t="s">
        <v>109</v>
      </c>
      <c r="S58" s="36" t="s">
        <v>102</v>
      </c>
      <c r="T58" s="37">
        <v>30</v>
      </c>
      <c r="U58" s="36" t="s">
        <v>39</v>
      </c>
      <c r="V58" s="36" t="s">
        <v>190</v>
      </c>
      <c r="W58" s="35" t="s">
        <v>41</v>
      </c>
    </row>
    <row r="59" spans="1:23" ht="75" customHeight="1" x14ac:dyDescent="0.3">
      <c r="A59" s="26">
        <v>58</v>
      </c>
      <c r="B59" s="27" t="s">
        <v>250</v>
      </c>
      <c r="C59" s="27" t="s">
        <v>185</v>
      </c>
      <c r="D59" s="27" t="s">
        <v>25</v>
      </c>
      <c r="E59" s="27" t="s">
        <v>254</v>
      </c>
      <c r="F59" s="28" t="s">
        <v>255</v>
      </c>
      <c r="G59" s="26">
        <v>8</v>
      </c>
      <c r="H59" s="26">
        <v>398</v>
      </c>
      <c r="I59" s="27" t="s">
        <v>188</v>
      </c>
      <c r="J59" s="27" t="s">
        <v>131</v>
      </c>
      <c r="K59" s="27" t="s">
        <v>132</v>
      </c>
      <c r="L59" s="27" t="s">
        <v>97</v>
      </c>
      <c r="M59" s="27" t="s">
        <v>98</v>
      </c>
      <c r="N59" s="26"/>
      <c r="O59" s="27"/>
      <c r="P59" s="35" t="s">
        <v>256</v>
      </c>
      <c r="Q59" s="35" t="s">
        <v>115</v>
      </c>
      <c r="R59" s="36" t="s">
        <v>116</v>
      </c>
      <c r="S59" s="36" t="s">
        <v>102</v>
      </c>
      <c r="T59" s="37">
        <v>30</v>
      </c>
      <c r="U59" s="36" t="s">
        <v>39</v>
      </c>
      <c r="V59" s="36" t="s">
        <v>190</v>
      </c>
      <c r="W59" s="35" t="s">
        <v>41</v>
      </c>
    </row>
    <row r="60" spans="1:23" ht="75" customHeight="1" x14ac:dyDescent="0.3">
      <c r="A60" s="26">
        <v>59</v>
      </c>
      <c r="B60" s="27" t="s">
        <v>250</v>
      </c>
      <c r="C60" s="27" t="s">
        <v>185</v>
      </c>
      <c r="D60" s="27" t="s">
        <v>25</v>
      </c>
      <c r="E60" s="27" t="s">
        <v>257</v>
      </c>
      <c r="F60" s="28" t="s">
        <v>258</v>
      </c>
      <c r="G60" s="26">
        <v>8</v>
      </c>
      <c r="H60" s="26">
        <v>406</v>
      </c>
      <c r="I60" s="27" t="s">
        <v>188</v>
      </c>
      <c r="J60" s="27" t="s">
        <v>95</v>
      </c>
      <c r="K60" s="27" t="s">
        <v>96</v>
      </c>
      <c r="L60" s="27" t="s">
        <v>97</v>
      </c>
      <c r="M60" s="27" t="s">
        <v>98</v>
      </c>
      <c r="N60" s="26"/>
      <c r="O60" s="27"/>
      <c r="P60" s="35" t="s">
        <v>259</v>
      </c>
      <c r="Q60" s="35" t="s">
        <v>100</v>
      </c>
      <c r="R60" s="36" t="s">
        <v>101</v>
      </c>
      <c r="S60" s="36" t="s">
        <v>102</v>
      </c>
      <c r="T60" s="37">
        <v>30</v>
      </c>
      <c r="U60" s="36" t="s">
        <v>39</v>
      </c>
      <c r="V60" s="36" t="s">
        <v>190</v>
      </c>
      <c r="W60" s="35" t="s">
        <v>41</v>
      </c>
    </row>
    <row r="61" spans="1:23" ht="75" customHeight="1" x14ac:dyDescent="0.3">
      <c r="A61" s="26">
        <v>60</v>
      </c>
      <c r="B61" s="27" t="s">
        <v>250</v>
      </c>
      <c r="C61" s="27" t="s">
        <v>185</v>
      </c>
      <c r="D61" s="27" t="s">
        <v>25</v>
      </c>
      <c r="E61" s="27" t="s">
        <v>260</v>
      </c>
      <c r="F61" s="28" t="s">
        <v>261</v>
      </c>
      <c r="G61" s="26">
        <v>8</v>
      </c>
      <c r="H61" s="26">
        <v>414</v>
      </c>
      <c r="I61" s="27" t="s">
        <v>188</v>
      </c>
      <c r="J61" s="27" t="s">
        <v>106</v>
      </c>
      <c r="K61" s="27" t="s">
        <v>107</v>
      </c>
      <c r="L61" s="27" t="s">
        <v>97</v>
      </c>
      <c r="M61" s="27" t="s">
        <v>98</v>
      </c>
      <c r="N61" s="26"/>
      <c r="O61" s="27"/>
      <c r="P61" s="35" t="s">
        <v>262</v>
      </c>
      <c r="Q61" s="35" t="s">
        <v>100</v>
      </c>
      <c r="R61" s="36" t="s">
        <v>109</v>
      </c>
      <c r="S61" s="36" t="s">
        <v>102</v>
      </c>
      <c r="T61" s="37">
        <v>30</v>
      </c>
      <c r="U61" s="36" t="s">
        <v>39</v>
      </c>
      <c r="V61" s="36" t="s">
        <v>190</v>
      </c>
      <c r="W61" s="35" t="s">
        <v>41</v>
      </c>
    </row>
    <row r="62" spans="1:23" ht="75" customHeight="1" x14ac:dyDescent="0.3">
      <c r="A62" s="26">
        <v>61</v>
      </c>
      <c r="B62" s="27" t="s">
        <v>250</v>
      </c>
      <c r="C62" s="27" t="s">
        <v>185</v>
      </c>
      <c r="D62" s="27" t="s">
        <v>25</v>
      </c>
      <c r="E62" s="27" t="s">
        <v>263</v>
      </c>
      <c r="F62" s="28" t="s">
        <v>264</v>
      </c>
      <c r="G62" s="26">
        <v>8</v>
      </c>
      <c r="H62" s="26">
        <v>422</v>
      </c>
      <c r="I62" s="27" t="s">
        <v>188</v>
      </c>
      <c r="J62" s="27" t="s">
        <v>112</v>
      </c>
      <c r="K62" s="27" t="s">
        <v>113</v>
      </c>
      <c r="L62" s="27" t="s">
        <v>97</v>
      </c>
      <c r="M62" s="27" t="s">
        <v>98</v>
      </c>
      <c r="N62" s="26"/>
      <c r="O62" s="27"/>
      <c r="P62" s="35" t="s">
        <v>265</v>
      </c>
      <c r="Q62" s="35" t="s">
        <v>115</v>
      </c>
      <c r="R62" s="36" t="s">
        <v>116</v>
      </c>
      <c r="S62" s="36" t="s">
        <v>102</v>
      </c>
      <c r="T62" s="37">
        <v>30</v>
      </c>
      <c r="U62" s="36" t="s">
        <v>39</v>
      </c>
      <c r="V62" s="36" t="s">
        <v>190</v>
      </c>
      <c r="W62" s="35" t="s">
        <v>41</v>
      </c>
    </row>
    <row r="63" spans="1:23" ht="75" customHeight="1" x14ac:dyDescent="0.3">
      <c r="A63" s="26">
        <v>62</v>
      </c>
      <c r="B63" s="27" t="s">
        <v>250</v>
      </c>
      <c r="C63" s="27" t="s">
        <v>185</v>
      </c>
      <c r="D63" s="27" t="s">
        <v>25</v>
      </c>
      <c r="E63" s="27" t="s">
        <v>266</v>
      </c>
      <c r="F63" s="28" t="s">
        <v>267</v>
      </c>
      <c r="G63" s="26">
        <v>8</v>
      </c>
      <c r="H63" s="26">
        <v>430</v>
      </c>
      <c r="I63" s="27" t="s">
        <v>188</v>
      </c>
      <c r="J63" s="27" t="s">
        <v>131</v>
      </c>
      <c r="K63" s="27" t="s">
        <v>132</v>
      </c>
      <c r="L63" s="27" t="s">
        <v>97</v>
      </c>
      <c r="M63" s="27" t="s">
        <v>98</v>
      </c>
      <c r="N63" s="26"/>
      <c r="O63" s="27"/>
      <c r="P63" s="35" t="s">
        <v>268</v>
      </c>
      <c r="Q63" s="35" t="s">
        <v>100</v>
      </c>
      <c r="R63" s="36" t="s">
        <v>101</v>
      </c>
      <c r="S63" s="36" t="s">
        <v>102</v>
      </c>
      <c r="T63" s="37">
        <v>30</v>
      </c>
      <c r="U63" s="36" t="s">
        <v>39</v>
      </c>
      <c r="V63" s="36" t="s">
        <v>190</v>
      </c>
      <c r="W63" s="35" t="s">
        <v>41</v>
      </c>
    </row>
    <row r="64" spans="1:23" ht="75" customHeight="1" x14ac:dyDescent="0.3">
      <c r="A64" s="15">
        <v>63</v>
      </c>
      <c r="B64" s="16" t="s">
        <v>250</v>
      </c>
      <c r="C64" s="16" t="s">
        <v>185</v>
      </c>
      <c r="D64" s="16" t="s">
        <v>63</v>
      </c>
      <c r="E64" s="16" t="s">
        <v>269</v>
      </c>
      <c r="F64" s="16" t="s">
        <v>32</v>
      </c>
      <c r="G64" s="15" t="s">
        <v>32</v>
      </c>
      <c r="H64" s="15">
        <v>430</v>
      </c>
      <c r="I64" s="16" t="s">
        <v>65</v>
      </c>
      <c r="J64" s="16" t="s">
        <v>66</v>
      </c>
      <c r="K64" s="16" t="s">
        <v>67</v>
      </c>
      <c r="L64" s="16" t="s">
        <v>68</v>
      </c>
      <c r="M64" s="16" t="s">
        <v>69</v>
      </c>
      <c r="N64" s="15"/>
      <c r="O64" s="16" t="s">
        <v>70</v>
      </c>
      <c r="P64" s="35" t="s">
        <v>270</v>
      </c>
      <c r="Q64" s="35" t="s">
        <v>72</v>
      </c>
      <c r="R64" s="36" t="s">
        <v>73</v>
      </c>
      <c r="S64" s="36" t="s">
        <v>74</v>
      </c>
      <c r="T64" s="37">
        <v>30</v>
      </c>
      <c r="U64" s="36" t="s">
        <v>76</v>
      </c>
      <c r="V64" s="36" t="s">
        <v>190</v>
      </c>
      <c r="W64" s="35" t="s">
        <v>41</v>
      </c>
    </row>
    <row r="65" spans="1:23" ht="75" customHeight="1" x14ac:dyDescent="0.3">
      <c r="A65" s="26">
        <v>64</v>
      </c>
      <c r="B65" s="27" t="s">
        <v>271</v>
      </c>
      <c r="C65" s="27" t="s">
        <v>185</v>
      </c>
      <c r="D65" s="27" t="s">
        <v>25</v>
      </c>
      <c r="E65" s="27" t="s">
        <v>272</v>
      </c>
      <c r="F65" s="28" t="s">
        <v>273</v>
      </c>
      <c r="G65" s="26">
        <v>8</v>
      </c>
      <c r="H65" s="26">
        <v>438</v>
      </c>
      <c r="I65" s="27" t="s">
        <v>188</v>
      </c>
      <c r="J65" s="27" t="s">
        <v>106</v>
      </c>
      <c r="K65" s="27" t="s">
        <v>107</v>
      </c>
      <c r="L65" s="27" t="s">
        <v>97</v>
      </c>
      <c r="M65" s="27" t="s">
        <v>98</v>
      </c>
      <c r="N65" s="26"/>
      <c r="O65" s="27"/>
      <c r="P65" s="35" t="s">
        <v>274</v>
      </c>
      <c r="Q65" s="35" t="s">
        <v>115</v>
      </c>
      <c r="R65" s="36" t="s">
        <v>116</v>
      </c>
      <c r="S65" s="36" t="s">
        <v>102</v>
      </c>
      <c r="T65" s="37">
        <v>30</v>
      </c>
      <c r="U65" s="36" t="s">
        <v>39</v>
      </c>
      <c r="V65" s="36" t="s">
        <v>190</v>
      </c>
      <c r="W65" s="35" t="s">
        <v>41</v>
      </c>
    </row>
    <row r="66" spans="1:23" ht="75" customHeight="1" x14ac:dyDescent="0.3">
      <c r="A66" s="26">
        <v>65</v>
      </c>
      <c r="B66" s="27" t="s">
        <v>271</v>
      </c>
      <c r="C66" s="27" t="s">
        <v>185</v>
      </c>
      <c r="D66" s="27" t="s">
        <v>25</v>
      </c>
      <c r="E66" s="27" t="s">
        <v>275</v>
      </c>
      <c r="F66" s="28" t="s">
        <v>276</v>
      </c>
      <c r="G66" s="26">
        <v>8</v>
      </c>
      <c r="H66" s="26">
        <v>446</v>
      </c>
      <c r="I66" s="27" t="s">
        <v>188</v>
      </c>
      <c r="J66" s="27" t="s">
        <v>112</v>
      </c>
      <c r="K66" s="27" t="s">
        <v>113</v>
      </c>
      <c r="L66" s="27" t="s">
        <v>97</v>
      </c>
      <c r="M66" s="27" t="s">
        <v>98</v>
      </c>
      <c r="N66" s="26"/>
      <c r="O66" s="27"/>
      <c r="P66" s="35" t="s">
        <v>277</v>
      </c>
      <c r="Q66" s="35" t="s">
        <v>100</v>
      </c>
      <c r="R66" s="36" t="s">
        <v>101</v>
      </c>
      <c r="S66" s="36" t="s">
        <v>102</v>
      </c>
      <c r="T66" s="37">
        <v>30</v>
      </c>
      <c r="U66" s="36" t="s">
        <v>39</v>
      </c>
      <c r="V66" s="36" t="s">
        <v>190</v>
      </c>
      <c r="W66" s="35" t="s">
        <v>41</v>
      </c>
    </row>
    <row r="67" spans="1:23" ht="75" customHeight="1" x14ac:dyDescent="0.3">
      <c r="A67" s="26">
        <v>66</v>
      </c>
      <c r="B67" s="27" t="s">
        <v>271</v>
      </c>
      <c r="C67" s="27" t="s">
        <v>185</v>
      </c>
      <c r="D67" s="27" t="s">
        <v>25</v>
      </c>
      <c r="E67" s="27" t="s">
        <v>278</v>
      </c>
      <c r="F67" s="28" t="s">
        <v>279</v>
      </c>
      <c r="G67" s="26">
        <v>8</v>
      </c>
      <c r="H67" s="26">
        <v>454</v>
      </c>
      <c r="I67" s="27" t="s">
        <v>188</v>
      </c>
      <c r="J67" s="27" t="s">
        <v>131</v>
      </c>
      <c r="K67" s="27" t="s">
        <v>132</v>
      </c>
      <c r="L67" s="27" t="s">
        <v>97</v>
      </c>
      <c r="M67" s="27" t="s">
        <v>98</v>
      </c>
      <c r="N67" s="26"/>
      <c r="O67" s="27"/>
      <c r="P67" s="35" t="s">
        <v>280</v>
      </c>
      <c r="Q67" s="35" t="s">
        <v>100</v>
      </c>
      <c r="R67" s="36" t="s">
        <v>109</v>
      </c>
      <c r="S67" s="36" t="s">
        <v>102</v>
      </c>
      <c r="T67" s="37">
        <v>30</v>
      </c>
      <c r="U67" s="36" t="s">
        <v>39</v>
      </c>
      <c r="V67" s="36" t="s">
        <v>190</v>
      </c>
      <c r="W67" s="35" t="s">
        <v>41</v>
      </c>
    </row>
    <row r="68" spans="1:23" ht="75" customHeight="1" x14ac:dyDescent="0.3">
      <c r="A68" s="26">
        <v>67</v>
      </c>
      <c r="B68" s="27" t="s">
        <v>271</v>
      </c>
      <c r="C68" s="27" t="s">
        <v>185</v>
      </c>
      <c r="D68" s="27" t="s">
        <v>25</v>
      </c>
      <c r="E68" s="27" t="s">
        <v>281</v>
      </c>
      <c r="F68" s="28" t="s">
        <v>282</v>
      </c>
      <c r="G68" s="26">
        <v>8</v>
      </c>
      <c r="H68" s="26">
        <v>462</v>
      </c>
      <c r="I68" s="27" t="s">
        <v>188</v>
      </c>
      <c r="J68" s="27" t="s">
        <v>95</v>
      </c>
      <c r="K68" s="27" t="s">
        <v>96</v>
      </c>
      <c r="L68" s="27" t="s">
        <v>97</v>
      </c>
      <c r="M68" s="27" t="s">
        <v>98</v>
      </c>
      <c r="N68" s="26"/>
      <c r="O68" s="27"/>
      <c r="P68" s="35" t="s">
        <v>283</v>
      </c>
      <c r="Q68" s="35" t="s">
        <v>115</v>
      </c>
      <c r="R68" s="36" t="s">
        <v>116</v>
      </c>
      <c r="S68" s="36" t="s">
        <v>102</v>
      </c>
      <c r="T68" s="37">
        <v>30</v>
      </c>
      <c r="U68" s="36" t="s">
        <v>39</v>
      </c>
      <c r="V68" s="36" t="s">
        <v>190</v>
      </c>
      <c r="W68" s="35" t="s">
        <v>41</v>
      </c>
    </row>
    <row r="69" spans="1:23" ht="75" customHeight="1" x14ac:dyDescent="0.3">
      <c r="A69" s="26">
        <v>68</v>
      </c>
      <c r="B69" s="27" t="s">
        <v>271</v>
      </c>
      <c r="C69" s="27" t="s">
        <v>185</v>
      </c>
      <c r="D69" s="27" t="s">
        <v>25</v>
      </c>
      <c r="E69" s="27" t="s">
        <v>284</v>
      </c>
      <c r="F69" s="28" t="s">
        <v>285</v>
      </c>
      <c r="G69" s="26">
        <v>8</v>
      </c>
      <c r="H69" s="26">
        <v>470</v>
      </c>
      <c r="I69" s="27" t="s">
        <v>188</v>
      </c>
      <c r="J69" s="27" t="s">
        <v>106</v>
      </c>
      <c r="K69" s="27" t="s">
        <v>107</v>
      </c>
      <c r="L69" s="27" t="s">
        <v>97</v>
      </c>
      <c r="M69" s="27" t="s">
        <v>98</v>
      </c>
      <c r="N69" s="26"/>
      <c r="O69" s="27"/>
      <c r="P69" s="35" t="s">
        <v>286</v>
      </c>
      <c r="Q69" s="35" t="s">
        <v>100</v>
      </c>
      <c r="R69" s="36" t="s">
        <v>101</v>
      </c>
      <c r="S69" s="36" t="s">
        <v>102</v>
      </c>
      <c r="T69" s="37">
        <v>30</v>
      </c>
      <c r="U69" s="36" t="s">
        <v>39</v>
      </c>
      <c r="V69" s="36" t="s">
        <v>190</v>
      </c>
      <c r="W69" s="35" t="s">
        <v>41</v>
      </c>
    </row>
    <row r="70" spans="1:23" ht="75" customHeight="1" x14ac:dyDescent="0.3">
      <c r="A70" s="26">
        <v>69</v>
      </c>
      <c r="B70" s="27" t="s">
        <v>271</v>
      </c>
      <c r="C70" s="27" t="s">
        <v>185</v>
      </c>
      <c r="D70" s="27" t="s">
        <v>25</v>
      </c>
      <c r="E70" s="27" t="s">
        <v>287</v>
      </c>
      <c r="F70" s="28" t="s">
        <v>288</v>
      </c>
      <c r="G70" s="26">
        <v>8</v>
      </c>
      <c r="H70" s="26">
        <v>478</v>
      </c>
      <c r="I70" s="27" t="s">
        <v>188</v>
      </c>
      <c r="J70" s="27" t="s">
        <v>112</v>
      </c>
      <c r="K70" s="27" t="s">
        <v>113</v>
      </c>
      <c r="L70" s="27" t="s">
        <v>97</v>
      </c>
      <c r="M70" s="27" t="s">
        <v>98</v>
      </c>
      <c r="N70" s="26"/>
      <c r="O70" s="27"/>
      <c r="P70" s="35" t="s">
        <v>289</v>
      </c>
      <c r="Q70" s="35" t="s">
        <v>100</v>
      </c>
      <c r="R70" s="36" t="s">
        <v>109</v>
      </c>
      <c r="S70" s="36" t="s">
        <v>102</v>
      </c>
      <c r="T70" s="37">
        <v>30</v>
      </c>
      <c r="U70" s="36" t="s">
        <v>39</v>
      </c>
      <c r="V70" s="36" t="s">
        <v>190</v>
      </c>
      <c r="W70" s="35" t="s">
        <v>41</v>
      </c>
    </row>
    <row r="71" spans="1:23" ht="75" customHeight="1" x14ac:dyDescent="0.3">
      <c r="A71" s="15">
        <v>70</v>
      </c>
      <c r="B71" s="16" t="s">
        <v>271</v>
      </c>
      <c r="C71" s="16" t="s">
        <v>185</v>
      </c>
      <c r="D71" s="16" t="s">
        <v>63</v>
      </c>
      <c r="E71" s="16" t="s">
        <v>290</v>
      </c>
      <c r="F71" s="16" t="s">
        <v>32</v>
      </c>
      <c r="G71" s="15" t="s">
        <v>32</v>
      </c>
      <c r="H71" s="15">
        <v>478</v>
      </c>
      <c r="I71" s="16" t="s">
        <v>65</v>
      </c>
      <c r="J71" s="16" t="s">
        <v>66</v>
      </c>
      <c r="K71" s="16" t="s">
        <v>67</v>
      </c>
      <c r="L71" s="16" t="s">
        <v>68</v>
      </c>
      <c r="M71" s="16" t="s">
        <v>69</v>
      </c>
      <c r="N71" s="15"/>
      <c r="O71" s="16" t="s">
        <v>70</v>
      </c>
      <c r="P71" s="35" t="s">
        <v>291</v>
      </c>
      <c r="Q71" s="35" t="s">
        <v>72</v>
      </c>
      <c r="R71" s="36" t="s">
        <v>73</v>
      </c>
      <c r="S71" s="36" t="s">
        <v>74</v>
      </c>
      <c r="T71" s="37">
        <v>30</v>
      </c>
      <c r="U71" s="36" t="s">
        <v>76</v>
      </c>
      <c r="V71" s="36" t="s">
        <v>190</v>
      </c>
      <c r="W71" s="35" t="s">
        <v>41</v>
      </c>
    </row>
    <row r="72" spans="1:23" ht="75" customHeight="1" x14ac:dyDescent="0.3">
      <c r="A72" s="31">
        <v>71</v>
      </c>
      <c r="B72" s="32" t="s">
        <v>292</v>
      </c>
      <c r="C72" s="32" t="s">
        <v>293</v>
      </c>
      <c r="D72" s="32" t="s">
        <v>25</v>
      </c>
      <c r="E72" s="32" t="s">
        <v>294</v>
      </c>
      <c r="F72" s="33" t="s">
        <v>295</v>
      </c>
      <c r="G72" s="31">
        <v>11</v>
      </c>
      <c r="H72" s="31">
        <v>489</v>
      </c>
      <c r="I72" s="32" t="s">
        <v>296</v>
      </c>
      <c r="J72" s="32" t="s">
        <v>297</v>
      </c>
      <c r="K72" s="32" t="s">
        <v>298</v>
      </c>
      <c r="L72" s="32" t="s">
        <v>299</v>
      </c>
      <c r="M72" s="32" t="s">
        <v>300</v>
      </c>
      <c r="N72" s="31"/>
      <c r="O72" s="32"/>
      <c r="P72" s="35" t="s">
        <v>301</v>
      </c>
      <c r="Q72" s="35" t="s">
        <v>100</v>
      </c>
      <c r="R72" s="36" t="s">
        <v>101</v>
      </c>
      <c r="S72" s="36" t="s">
        <v>102</v>
      </c>
      <c r="T72" s="37">
        <v>30</v>
      </c>
      <c r="U72" s="36" t="s">
        <v>39</v>
      </c>
      <c r="V72" s="36" t="s">
        <v>302</v>
      </c>
      <c r="W72" s="35" t="s">
        <v>41</v>
      </c>
    </row>
    <row r="73" spans="1:23" ht="75" customHeight="1" x14ac:dyDescent="0.3">
      <c r="A73" s="31">
        <v>72</v>
      </c>
      <c r="B73" s="32" t="s">
        <v>292</v>
      </c>
      <c r="C73" s="32" t="s">
        <v>293</v>
      </c>
      <c r="D73" s="32" t="s">
        <v>25</v>
      </c>
      <c r="E73" s="32" t="s">
        <v>294</v>
      </c>
      <c r="F73" s="33" t="s">
        <v>303</v>
      </c>
      <c r="G73" s="31">
        <v>11</v>
      </c>
      <c r="H73" s="31">
        <v>500</v>
      </c>
      <c r="I73" s="32" t="s">
        <v>304</v>
      </c>
      <c r="J73" s="32" t="s">
        <v>305</v>
      </c>
      <c r="K73" s="32" t="s">
        <v>306</v>
      </c>
      <c r="L73" s="32" t="s">
        <v>307</v>
      </c>
      <c r="M73" s="32" t="s">
        <v>300</v>
      </c>
      <c r="N73" s="31"/>
      <c r="O73" s="32"/>
      <c r="P73" s="35" t="s">
        <v>308</v>
      </c>
      <c r="Q73" s="35" t="s">
        <v>100</v>
      </c>
      <c r="R73" s="36" t="s">
        <v>109</v>
      </c>
      <c r="S73" s="36" t="s">
        <v>102</v>
      </c>
      <c r="T73" s="37">
        <v>30</v>
      </c>
      <c r="U73" s="36" t="s">
        <v>39</v>
      </c>
      <c r="V73" s="36" t="s">
        <v>302</v>
      </c>
      <c r="W73" s="35" t="s">
        <v>41</v>
      </c>
    </row>
    <row r="74" spans="1:23" ht="75" customHeight="1" x14ac:dyDescent="0.3">
      <c r="A74" s="31">
        <v>73</v>
      </c>
      <c r="B74" s="32" t="s">
        <v>292</v>
      </c>
      <c r="C74" s="32" t="s">
        <v>293</v>
      </c>
      <c r="D74" s="32" t="s">
        <v>25</v>
      </c>
      <c r="E74" s="32" t="s">
        <v>294</v>
      </c>
      <c r="F74" s="32" t="s">
        <v>32</v>
      </c>
      <c r="G74" s="31" t="s">
        <v>32</v>
      </c>
      <c r="H74" s="31">
        <v>500</v>
      </c>
      <c r="I74" s="32" t="s">
        <v>309</v>
      </c>
      <c r="J74" s="32" t="s">
        <v>310</v>
      </c>
      <c r="K74" s="32" t="s">
        <v>311</v>
      </c>
      <c r="L74" s="32" t="s">
        <v>312</v>
      </c>
      <c r="M74" s="32" t="s">
        <v>300</v>
      </c>
      <c r="N74" s="31"/>
      <c r="O74" s="32"/>
      <c r="P74" s="35" t="s">
        <v>313</v>
      </c>
      <c r="Q74" s="35" t="s">
        <v>115</v>
      </c>
      <c r="R74" s="36" t="s">
        <v>116</v>
      </c>
      <c r="S74" s="36" t="s">
        <v>102</v>
      </c>
      <c r="T74" s="37">
        <v>30</v>
      </c>
      <c r="U74" s="36" t="s">
        <v>39</v>
      </c>
      <c r="V74" s="36" t="s">
        <v>302</v>
      </c>
      <c r="W74" s="35" t="s">
        <v>41</v>
      </c>
    </row>
    <row r="75" spans="1:23" ht="75" customHeight="1" x14ac:dyDescent="0.3">
      <c r="A75" s="31">
        <v>74</v>
      </c>
      <c r="B75" s="32" t="s">
        <v>292</v>
      </c>
      <c r="C75" s="32" t="s">
        <v>293</v>
      </c>
      <c r="D75" s="32" t="s">
        <v>25</v>
      </c>
      <c r="E75" s="32" t="s">
        <v>314</v>
      </c>
      <c r="F75" s="33" t="s">
        <v>315</v>
      </c>
      <c r="G75" s="31">
        <v>11</v>
      </c>
      <c r="H75" s="31">
        <v>511</v>
      </c>
      <c r="I75" s="32" t="s">
        <v>296</v>
      </c>
      <c r="J75" s="32" t="s">
        <v>297</v>
      </c>
      <c r="K75" s="32" t="s">
        <v>298</v>
      </c>
      <c r="L75" s="32" t="s">
        <v>299</v>
      </c>
      <c r="M75" s="32" t="s">
        <v>300</v>
      </c>
      <c r="N75" s="31"/>
      <c r="O75" s="32"/>
      <c r="P75" s="35" t="s">
        <v>316</v>
      </c>
      <c r="Q75" s="35" t="s">
        <v>100</v>
      </c>
      <c r="R75" s="36" t="s">
        <v>101</v>
      </c>
      <c r="S75" s="36" t="s">
        <v>102</v>
      </c>
      <c r="T75" s="37">
        <v>30</v>
      </c>
      <c r="U75" s="36" t="s">
        <v>39</v>
      </c>
      <c r="V75" s="36" t="s">
        <v>302</v>
      </c>
      <c r="W75" s="35" t="s">
        <v>41</v>
      </c>
    </row>
    <row r="76" spans="1:23" ht="75" customHeight="1" x14ac:dyDescent="0.3">
      <c r="A76" s="31">
        <v>75</v>
      </c>
      <c r="B76" s="32" t="s">
        <v>292</v>
      </c>
      <c r="C76" s="32" t="s">
        <v>293</v>
      </c>
      <c r="D76" s="32" t="s">
        <v>25</v>
      </c>
      <c r="E76" s="32" t="s">
        <v>314</v>
      </c>
      <c r="F76" s="33" t="s">
        <v>317</v>
      </c>
      <c r="G76" s="31">
        <v>11</v>
      </c>
      <c r="H76" s="31">
        <v>522</v>
      </c>
      <c r="I76" s="32" t="s">
        <v>304</v>
      </c>
      <c r="J76" s="32" t="s">
        <v>305</v>
      </c>
      <c r="K76" s="32" t="s">
        <v>306</v>
      </c>
      <c r="L76" s="32" t="s">
        <v>307</v>
      </c>
      <c r="M76" s="32" t="s">
        <v>300</v>
      </c>
      <c r="N76" s="31"/>
      <c r="O76" s="32"/>
      <c r="P76" s="35" t="s">
        <v>318</v>
      </c>
      <c r="Q76" s="35" t="s">
        <v>100</v>
      </c>
      <c r="R76" s="36" t="s">
        <v>109</v>
      </c>
      <c r="S76" s="36" t="s">
        <v>102</v>
      </c>
      <c r="T76" s="37">
        <v>30</v>
      </c>
      <c r="U76" s="36" t="s">
        <v>39</v>
      </c>
      <c r="V76" s="36" t="s">
        <v>302</v>
      </c>
      <c r="W76" s="35" t="s">
        <v>41</v>
      </c>
    </row>
    <row r="77" spans="1:23" ht="75" customHeight="1" x14ac:dyDescent="0.3">
      <c r="A77" s="31">
        <v>76</v>
      </c>
      <c r="B77" s="32" t="s">
        <v>292</v>
      </c>
      <c r="C77" s="32" t="s">
        <v>293</v>
      </c>
      <c r="D77" s="32" t="s">
        <v>25</v>
      </c>
      <c r="E77" s="32" t="s">
        <v>314</v>
      </c>
      <c r="F77" s="32" t="s">
        <v>32</v>
      </c>
      <c r="G77" s="31" t="s">
        <v>32</v>
      </c>
      <c r="H77" s="31">
        <v>522</v>
      </c>
      <c r="I77" s="32" t="s">
        <v>309</v>
      </c>
      <c r="J77" s="32" t="s">
        <v>310</v>
      </c>
      <c r="K77" s="32" t="s">
        <v>311</v>
      </c>
      <c r="L77" s="32" t="s">
        <v>312</v>
      </c>
      <c r="M77" s="32" t="s">
        <v>300</v>
      </c>
      <c r="N77" s="31"/>
      <c r="O77" s="32"/>
      <c r="P77" s="35" t="s">
        <v>319</v>
      </c>
      <c r="Q77" s="35" t="s">
        <v>115</v>
      </c>
      <c r="R77" s="36" t="s">
        <v>116</v>
      </c>
      <c r="S77" s="36" t="s">
        <v>102</v>
      </c>
      <c r="T77" s="37">
        <v>30</v>
      </c>
      <c r="U77" s="36" t="s">
        <v>39</v>
      </c>
      <c r="V77" s="36" t="s">
        <v>302</v>
      </c>
      <c r="W77" s="35" t="s">
        <v>41</v>
      </c>
    </row>
    <row r="78" spans="1:23" ht="75" customHeight="1" x14ac:dyDescent="0.3">
      <c r="A78" s="15">
        <v>77</v>
      </c>
      <c r="B78" s="16" t="s">
        <v>292</v>
      </c>
      <c r="C78" s="16" t="s">
        <v>293</v>
      </c>
      <c r="D78" s="16" t="s">
        <v>63</v>
      </c>
      <c r="E78" s="16" t="s">
        <v>320</v>
      </c>
      <c r="F78" s="16" t="s">
        <v>32</v>
      </c>
      <c r="G78" s="15" t="s">
        <v>32</v>
      </c>
      <c r="H78" s="15">
        <v>522</v>
      </c>
      <c r="I78" s="16" t="s">
        <v>65</v>
      </c>
      <c r="J78" s="16" t="s">
        <v>66</v>
      </c>
      <c r="K78" s="16" t="s">
        <v>67</v>
      </c>
      <c r="L78" s="16" t="s">
        <v>68</v>
      </c>
      <c r="M78" s="16" t="s">
        <v>69</v>
      </c>
      <c r="N78" s="15"/>
      <c r="O78" s="16" t="s">
        <v>70</v>
      </c>
      <c r="P78" s="35" t="s">
        <v>321</v>
      </c>
      <c r="Q78" s="35" t="s">
        <v>72</v>
      </c>
      <c r="R78" s="36" t="s">
        <v>73</v>
      </c>
      <c r="S78" s="36" t="s">
        <v>74</v>
      </c>
      <c r="T78" s="37">
        <v>30</v>
      </c>
      <c r="U78" s="36" t="s">
        <v>76</v>
      </c>
      <c r="V78" s="36" t="s">
        <v>302</v>
      </c>
      <c r="W78" s="35" t="s">
        <v>41</v>
      </c>
    </row>
    <row r="79" spans="1:23" ht="75" customHeight="1" x14ac:dyDescent="0.3">
      <c r="A79" s="31">
        <v>78</v>
      </c>
      <c r="B79" s="32" t="s">
        <v>322</v>
      </c>
      <c r="C79" s="32" t="s">
        <v>293</v>
      </c>
      <c r="D79" s="32" t="s">
        <v>25</v>
      </c>
      <c r="E79" s="32" t="s">
        <v>323</v>
      </c>
      <c r="F79" s="33" t="s">
        <v>324</v>
      </c>
      <c r="G79" s="31">
        <v>11</v>
      </c>
      <c r="H79" s="31">
        <v>533</v>
      </c>
      <c r="I79" s="32" t="s">
        <v>296</v>
      </c>
      <c r="J79" s="32" t="s">
        <v>297</v>
      </c>
      <c r="K79" s="32" t="s">
        <v>298</v>
      </c>
      <c r="L79" s="32" t="s">
        <v>299</v>
      </c>
      <c r="M79" s="32" t="s">
        <v>300</v>
      </c>
      <c r="N79" s="31"/>
      <c r="O79" s="32"/>
      <c r="P79" s="35" t="s">
        <v>325</v>
      </c>
      <c r="Q79" s="35" t="s">
        <v>100</v>
      </c>
      <c r="R79" s="36" t="s">
        <v>109</v>
      </c>
      <c r="S79" s="36" t="s">
        <v>102</v>
      </c>
      <c r="T79" s="37">
        <v>30</v>
      </c>
      <c r="U79" s="36" t="s">
        <v>39</v>
      </c>
      <c r="V79" s="36" t="s">
        <v>302</v>
      </c>
      <c r="W79" s="35" t="s">
        <v>41</v>
      </c>
    </row>
    <row r="80" spans="1:23" ht="75" customHeight="1" x14ac:dyDescent="0.3">
      <c r="A80" s="31">
        <v>79</v>
      </c>
      <c r="B80" s="32" t="s">
        <v>322</v>
      </c>
      <c r="C80" s="32" t="s">
        <v>293</v>
      </c>
      <c r="D80" s="32" t="s">
        <v>25</v>
      </c>
      <c r="E80" s="32" t="s">
        <v>323</v>
      </c>
      <c r="F80" s="33" t="s">
        <v>326</v>
      </c>
      <c r="G80" s="31">
        <v>11</v>
      </c>
      <c r="H80" s="31">
        <v>544</v>
      </c>
      <c r="I80" s="32" t="s">
        <v>304</v>
      </c>
      <c r="J80" s="32" t="s">
        <v>305</v>
      </c>
      <c r="K80" s="32" t="s">
        <v>306</v>
      </c>
      <c r="L80" s="32" t="s">
        <v>307</v>
      </c>
      <c r="M80" s="32" t="s">
        <v>300</v>
      </c>
      <c r="N80" s="31"/>
      <c r="O80" s="32"/>
      <c r="P80" s="35" t="s">
        <v>327</v>
      </c>
      <c r="Q80" s="35" t="s">
        <v>115</v>
      </c>
      <c r="R80" s="36" t="s">
        <v>116</v>
      </c>
      <c r="S80" s="36" t="s">
        <v>102</v>
      </c>
      <c r="T80" s="37">
        <v>30</v>
      </c>
      <c r="U80" s="36" t="s">
        <v>39</v>
      </c>
      <c r="V80" s="36" t="s">
        <v>302</v>
      </c>
      <c r="W80" s="35" t="s">
        <v>41</v>
      </c>
    </row>
    <row r="81" spans="1:23" ht="75" customHeight="1" x14ac:dyDescent="0.3">
      <c r="A81" s="31">
        <v>80</v>
      </c>
      <c r="B81" s="32" t="s">
        <v>322</v>
      </c>
      <c r="C81" s="32" t="s">
        <v>293</v>
      </c>
      <c r="D81" s="32" t="s">
        <v>25</v>
      </c>
      <c r="E81" s="32" t="s">
        <v>323</v>
      </c>
      <c r="F81" s="32" t="s">
        <v>32</v>
      </c>
      <c r="G81" s="31" t="s">
        <v>32</v>
      </c>
      <c r="H81" s="31">
        <v>544</v>
      </c>
      <c r="I81" s="32" t="s">
        <v>309</v>
      </c>
      <c r="J81" s="32" t="s">
        <v>310</v>
      </c>
      <c r="K81" s="32" t="s">
        <v>311</v>
      </c>
      <c r="L81" s="32" t="s">
        <v>312</v>
      </c>
      <c r="M81" s="32" t="s">
        <v>300</v>
      </c>
      <c r="N81" s="31"/>
      <c r="O81" s="32"/>
      <c r="P81" s="35" t="s">
        <v>328</v>
      </c>
      <c r="Q81" s="35" t="s">
        <v>100</v>
      </c>
      <c r="R81" s="36" t="s">
        <v>101</v>
      </c>
      <c r="S81" s="36" t="s">
        <v>102</v>
      </c>
      <c r="T81" s="37">
        <v>30</v>
      </c>
      <c r="U81" s="36" t="s">
        <v>39</v>
      </c>
      <c r="V81" s="36" t="s">
        <v>302</v>
      </c>
      <c r="W81" s="35" t="s">
        <v>41</v>
      </c>
    </row>
    <row r="82" spans="1:23" ht="75" customHeight="1" x14ac:dyDescent="0.3">
      <c r="A82" s="31">
        <v>81</v>
      </c>
      <c r="B82" s="32" t="s">
        <v>322</v>
      </c>
      <c r="C82" s="32" t="s">
        <v>293</v>
      </c>
      <c r="D82" s="32" t="s">
        <v>25</v>
      </c>
      <c r="E82" s="32" t="s">
        <v>329</v>
      </c>
      <c r="F82" s="33" t="s">
        <v>330</v>
      </c>
      <c r="G82" s="31">
        <v>11</v>
      </c>
      <c r="H82" s="31">
        <v>555</v>
      </c>
      <c r="I82" s="32" t="s">
        <v>296</v>
      </c>
      <c r="J82" s="32" t="s">
        <v>297</v>
      </c>
      <c r="K82" s="32" t="s">
        <v>298</v>
      </c>
      <c r="L82" s="32" t="s">
        <v>299</v>
      </c>
      <c r="M82" s="32" t="s">
        <v>300</v>
      </c>
      <c r="N82" s="31"/>
      <c r="O82" s="32"/>
      <c r="P82" s="35" t="s">
        <v>331</v>
      </c>
      <c r="Q82" s="35" t="s">
        <v>100</v>
      </c>
      <c r="R82" s="36" t="s">
        <v>109</v>
      </c>
      <c r="S82" s="36" t="s">
        <v>102</v>
      </c>
      <c r="T82" s="37">
        <v>30</v>
      </c>
      <c r="U82" s="36" t="s">
        <v>39</v>
      </c>
      <c r="V82" s="36" t="s">
        <v>302</v>
      </c>
      <c r="W82" s="35" t="s">
        <v>41</v>
      </c>
    </row>
    <row r="83" spans="1:23" ht="75" customHeight="1" x14ac:dyDescent="0.3">
      <c r="A83" s="31">
        <v>82</v>
      </c>
      <c r="B83" s="32" t="s">
        <v>322</v>
      </c>
      <c r="C83" s="32" t="s">
        <v>293</v>
      </c>
      <c r="D83" s="32" t="s">
        <v>25</v>
      </c>
      <c r="E83" s="32" t="s">
        <v>329</v>
      </c>
      <c r="F83" s="33" t="s">
        <v>332</v>
      </c>
      <c r="G83" s="31">
        <v>11</v>
      </c>
      <c r="H83" s="31">
        <v>566</v>
      </c>
      <c r="I83" s="32" t="s">
        <v>304</v>
      </c>
      <c r="J83" s="32" t="s">
        <v>305</v>
      </c>
      <c r="K83" s="32" t="s">
        <v>306</v>
      </c>
      <c r="L83" s="32" t="s">
        <v>307</v>
      </c>
      <c r="M83" s="32" t="s">
        <v>300</v>
      </c>
      <c r="N83" s="31"/>
      <c r="O83" s="32"/>
      <c r="P83" s="35" t="s">
        <v>333</v>
      </c>
      <c r="Q83" s="35" t="s">
        <v>115</v>
      </c>
      <c r="R83" s="36" t="s">
        <v>116</v>
      </c>
      <c r="S83" s="36" t="s">
        <v>102</v>
      </c>
      <c r="T83" s="37">
        <v>30</v>
      </c>
      <c r="U83" s="36" t="s">
        <v>39</v>
      </c>
      <c r="V83" s="36" t="s">
        <v>302</v>
      </c>
      <c r="W83" s="35" t="s">
        <v>41</v>
      </c>
    </row>
    <row r="84" spans="1:23" ht="75" customHeight="1" x14ac:dyDescent="0.3">
      <c r="A84" s="31">
        <v>83</v>
      </c>
      <c r="B84" s="32" t="s">
        <v>322</v>
      </c>
      <c r="C84" s="32" t="s">
        <v>293</v>
      </c>
      <c r="D84" s="32" t="s">
        <v>25</v>
      </c>
      <c r="E84" s="32" t="s">
        <v>329</v>
      </c>
      <c r="F84" s="32" t="s">
        <v>32</v>
      </c>
      <c r="G84" s="31" t="s">
        <v>32</v>
      </c>
      <c r="H84" s="31">
        <v>566</v>
      </c>
      <c r="I84" s="32" t="s">
        <v>309</v>
      </c>
      <c r="J84" s="32" t="s">
        <v>310</v>
      </c>
      <c r="K84" s="32" t="s">
        <v>311</v>
      </c>
      <c r="L84" s="32" t="s">
        <v>312</v>
      </c>
      <c r="M84" s="32" t="s">
        <v>300</v>
      </c>
      <c r="N84" s="31"/>
      <c r="O84" s="32"/>
      <c r="P84" s="35" t="s">
        <v>334</v>
      </c>
      <c r="Q84" s="35" t="s">
        <v>100</v>
      </c>
      <c r="R84" s="36" t="s">
        <v>101</v>
      </c>
      <c r="S84" s="36" t="s">
        <v>102</v>
      </c>
      <c r="T84" s="37">
        <v>30</v>
      </c>
      <c r="U84" s="36" t="s">
        <v>39</v>
      </c>
      <c r="V84" s="36" t="s">
        <v>302</v>
      </c>
      <c r="W84" s="35" t="s">
        <v>41</v>
      </c>
    </row>
    <row r="85" spans="1:23" ht="75" customHeight="1" x14ac:dyDescent="0.3">
      <c r="A85" s="15">
        <v>84</v>
      </c>
      <c r="B85" s="16" t="s">
        <v>322</v>
      </c>
      <c r="C85" s="16" t="s">
        <v>293</v>
      </c>
      <c r="D85" s="16" t="s">
        <v>63</v>
      </c>
      <c r="E85" s="16" t="s">
        <v>335</v>
      </c>
      <c r="F85" s="16" t="s">
        <v>32</v>
      </c>
      <c r="G85" s="15" t="s">
        <v>32</v>
      </c>
      <c r="H85" s="15">
        <v>566</v>
      </c>
      <c r="I85" s="16" t="s">
        <v>65</v>
      </c>
      <c r="J85" s="16" t="s">
        <v>66</v>
      </c>
      <c r="K85" s="16" t="s">
        <v>67</v>
      </c>
      <c r="L85" s="16" t="s">
        <v>68</v>
      </c>
      <c r="M85" s="16" t="s">
        <v>69</v>
      </c>
      <c r="N85" s="15"/>
      <c r="O85" s="16" t="s">
        <v>70</v>
      </c>
      <c r="P85" s="35" t="s">
        <v>336</v>
      </c>
      <c r="Q85" s="35" t="s">
        <v>72</v>
      </c>
      <c r="R85" s="36" t="s">
        <v>73</v>
      </c>
      <c r="S85" s="36" t="s">
        <v>74</v>
      </c>
      <c r="T85" s="37">
        <v>30</v>
      </c>
      <c r="U85" s="36" t="s">
        <v>76</v>
      </c>
      <c r="V85" s="36" t="s">
        <v>302</v>
      </c>
      <c r="W85" s="35" t="s">
        <v>41</v>
      </c>
    </row>
    <row r="86" spans="1:23" ht="75" customHeight="1" x14ac:dyDescent="0.3">
      <c r="A86" s="31">
        <v>85</v>
      </c>
      <c r="B86" s="32" t="s">
        <v>337</v>
      </c>
      <c r="C86" s="32" t="s">
        <v>293</v>
      </c>
      <c r="D86" s="32" t="s">
        <v>25</v>
      </c>
      <c r="E86" s="32" t="s">
        <v>338</v>
      </c>
      <c r="F86" s="33" t="s">
        <v>339</v>
      </c>
      <c r="G86" s="31">
        <v>11</v>
      </c>
      <c r="H86" s="31">
        <v>577</v>
      </c>
      <c r="I86" s="32" t="s">
        <v>296</v>
      </c>
      <c r="J86" s="32" t="s">
        <v>297</v>
      </c>
      <c r="K86" s="32" t="s">
        <v>298</v>
      </c>
      <c r="L86" s="32" t="s">
        <v>299</v>
      </c>
      <c r="M86" s="32" t="s">
        <v>300</v>
      </c>
      <c r="N86" s="31"/>
      <c r="O86" s="32"/>
      <c r="P86" s="35" t="s">
        <v>340</v>
      </c>
      <c r="Q86" s="35" t="s">
        <v>115</v>
      </c>
      <c r="R86" s="36" t="s">
        <v>116</v>
      </c>
      <c r="S86" s="36" t="s">
        <v>102</v>
      </c>
      <c r="T86" s="37">
        <v>30</v>
      </c>
      <c r="U86" s="36" t="s">
        <v>39</v>
      </c>
      <c r="V86" s="36" t="s">
        <v>302</v>
      </c>
      <c r="W86" s="35" t="s">
        <v>41</v>
      </c>
    </row>
    <row r="87" spans="1:23" ht="75" customHeight="1" x14ac:dyDescent="0.3">
      <c r="A87" s="31">
        <v>86</v>
      </c>
      <c r="B87" s="32" t="s">
        <v>337</v>
      </c>
      <c r="C87" s="32" t="s">
        <v>293</v>
      </c>
      <c r="D87" s="32" t="s">
        <v>25</v>
      </c>
      <c r="E87" s="32" t="s">
        <v>338</v>
      </c>
      <c r="F87" s="33" t="s">
        <v>341</v>
      </c>
      <c r="G87" s="31">
        <v>11</v>
      </c>
      <c r="H87" s="31">
        <v>588</v>
      </c>
      <c r="I87" s="32" t="s">
        <v>304</v>
      </c>
      <c r="J87" s="32" t="s">
        <v>305</v>
      </c>
      <c r="K87" s="32" t="s">
        <v>306</v>
      </c>
      <c r="L87" s="32" t="s">
        <v>307</v>
      </c>
      <c r="M87" s="32" t="s">
        <v>300</v>
      </c>
      <c r="N87" s="31"/>
      <c r="O87" s="32"/>
      <c r="P87" s="35" t="s">
        <v>342</v>
      </c>
      <c r="Q87" s="35" t="s">
        <v>100</v>
      </c>
      <c r="R87" s="36" t="s">
        <v>101</v>
      </c>
      <c r="S87" s="36" t="s">
        <v>102</v>
      </c>
      <c r="T87" s="37">
        <v>30</v>
      </c>
      <c r="U87" s="36" t="s">
        <v>39</v>
      </c>
      <c r="V87" s="36" t="s">
        <v>302</v>
      </c>
      <c r="W87" s="35" t="s">
        <v>41</v>
      </c>
    </row>
    <row r="88" spans="1:23" ht="75" customHeight="1" x14ac:dyDescent="0.3">
      <c r="A88" s="31">
        <v>87</v>
      </c>
      <c r="B88" s="32" t="s">
        <v>337</v>
      </c>
      <c r="C88" s="32" t="s">
        <v>293</v>
      </c>
      <c r="D88" s="32" t="s">
        <v>25</v>
      </c>
      <c r="E88" s="32" t="s">
        <v>338</v>
      </c>
      <c r="F88" s="32" t="s">
        <v>32</v>
      </c>
      <c r="G88" s="31" t="s">
        <v>32</v>
      </c>
      <c r="H88" s="31">
        <v>588</v>
      </c>
      <c r="I88" s="32" t="s">
        <v>309</v>
      </c>
      <c r="J88" s="32" t="s">
        <v>310</v>
      </c>
      <c r="K88" s="32" t="s">
        <v>311</v>
      </c>
      <c r="L88" s="32" t="s">
        <v>312</v>
      </c>
      <c r="M88" s="32" t="s">
        <v>300</v>
      </c>
      <c r="N88" s="31"/>
      <c r="O88" s="32"/>
      <c r="P88" s="35" t="s">
        <v>343</v>
      </c>
      <c r="Q88" s="35" t="s">
        <v>100</v>
      </c>
      <c r="R88" s="36" t="s">
        <v>109</v>
      </c>
      <c r="S88" s="36" t="s">
        <v>102</v>
      </c>
      <c r="T88" s="37">
        <v>30</v>
      </c>
      <c r="U88" s="36" t="s">
        <v>39</v>
      </c>
      <c r="V88" s="36" t="s">
        <v>302</v>
      </c>
      <c r="W88" s="35" t="s">
        <v>41</v>
      </c>
    </row>
    <row r="89" spans="1:23" ht="75" customHeight="1" x14ac:dyDescent="0.3">
      <c r="A89" s="31">
        <v>88</v>
      </c>
      <c r="B89" s="32" t="s">
        <v>337</v>
      </c>
      <c r="C89" s="32" t="s">
        <v>293</v>
      </c>
      <c r="D89" s="32" t="s">
        <v>25</v>
      </c>
      <c r="E89" s="32" t="s">
        <v>344</v>
      </c>
      <c r="F89" s="33" t="s">
        <v>345</v>
      </c>
      <c r="G89" s="31">
        <v>11</v>
      </c>
      <c r="H89" s="31">
        <v>599</v>
      </c>
      <c r="I89" s="32" t="s">
        <v>296</v>
      </c>
      <c r="J89" s="32" t="s">
        <v>297</v>
      </c>
      <c r="K89" s="32" t="s">
        <v>298</v>
      </c>
      <c r="L89" s="32" t="s">
        <v>299</v>
      </c>
      <c r="M89" s="32" t="s">
        <v>300</v>
      </c>
      <c r="N89" s="31"/>
      <c r="O89" s="32"/>
      <c r="P89" s="35" t="s">
        <v>346</v>
      </c>
      <c r="Q89" s="35" t="s">
        <v>115</v>
      </c>
      <c r="R89" s="36" t="s">
        <v>116</v>
      </c>
      <c r="S89" s="36" t="s">
        <v>102</v>
      </c>
      <c r="T89" s="37">
        <v>30</v>
      </c>
      <c r="U89" s="36" t="s">
        <v>39</v>
      </c>
      <c r="V89" s="36" t="s">
        <v>302</v>
      </c>
      <c r="W89" s="35" t="s">
        <v>41</v>
      </c>
    </row>
    <row r="90" spans="1:23" ht="75" customHeight="1" x14ac:dyDescent="0.3">
      <c r="A90" s="31">
        <v>89</v>
      </c>
      <c r="B90" s="32" t="s">
        <v>337</v>
      </c>
      <c r="C90" s="32" t="s">
        <v>293</v>
      </c>
      <c r="D90" s="32" t="s">
        <v>25</v>
      </c>
      <c r="E90" s="32" t="s">
        <v>344</v>
      </c>
      <c r="F90" s="33" t="s">
        <v>347</v>
      </c>
      <c r="G90" s="31">
        <v>11</v>
      </c>
      <c r="H90" s="31">
        <v>610</v>
      </c>
      <c r="I90" s="32" t="s">
        <v>304</v>
      </c>
      <c r="J90" s="32" t="s">
        <v>305</v>
      </c>
      <c r="K90" s="32" t="s">
        <v>306</v>
      </c>
      <c r="L90" s="32" t="s">
        <v>307</v>
      </c>
      <c r="M90" s="32" t="s">
        <v>300</v>
      </c>
      <c r="N90" s="31"/>
      <c r="O90" s="32"/>
      <c r="P90" s="35" t="s">
        <v>348</v>
      </c>
      <c r="Q90" s="35" t="s">
        <v>100</v>
      </c>
      <c r="R90" s="36" t="s">
        <v>101</v>
      </c>
      <c r="S90" s="36" t="s">
        <v>102</v>
      </c>
      <c r="T90" s="37">
        <v>30</v>
      </c>
      <c r="U90" s="36" t="s">
        <v>39</v>
      </c>
      <c r="V90" s="36" t="s">
        <v>302</v>
      </c>
      <c r="W90" s="35" t="s">
        <v>41</v>
      </c>
    </row>
    <row r="91" spans="1:23" ht="75" customHeight="1" x14ac:dyDescent="0.3">
      <c r="A91" s="31">
        <v>90</v>
      </c>
      <c r="B91" s="32" t="s">
        <v>337</v>
      </c>
      <c r="C91" s="32" t="s">
        <v>293</v>
      </c>
      <c r="D91" s="32" t="s">
        <v>25</v>
      </c>
      <c r="E91" s="32" t="s">
        <v>344</v>
      </c>
      <c r="F91" s="32" t="s">
        <v>32</v>
      </c>
      <c r="G91" s="31" t="s">
        <v>32</v>
      </c>
      <c r="H91" s="31">
        <v>610</v>
      </c>
      <c r="I91" s="32" t="s">
        <v>309</v>
      </c>
      <c r="J91" s="32" t="s">
        <v>310</v>
      </c>
      <c r="K91" s="32" t="s">
        <v>311</v>
      </c>
      <c r="L91" s="32" t="s">
        <v>312</v>
      </c>
      <c r="M91" s="32" t="s">
        <v>300</v>
      </c>
      <c r="N91" s="31"/>
      <c r="O91" s="32"/>
      <c r="P91" s="35" t="s">
        <v>349</v>
      </c>
      <c r="Q91" s="35" t="s">
        <v>100</v>
      </c>
      <c r="R91" s="36" t="s">
        <v>109</v>
      </c>
      <c r="S91" s="36" t="s">
        <v>102</v>
      </c>
      <c r="T91" s="37">
        <v>30</v>
      </c>
      <c r="U91" s="36" t="s">
        <v>39</v>
      </c>
      <c r="V91" s="36" t="s">
        <v>302</v>
      </c>
      <c r="W91" s="35" t="s">
        <v>41</v>
      </c>
    </row>
    <row r="92" spans="1:23" ht="75" customHeight="1" x14ac:dyDescent="0.3">
      <c r="A92" s="15">
        <v>91</v>
      </c>
      <c r="B92" s="16" t="s">
        <v>337</v>
      </c>
      <c r="C92" s="16" t="s">
        <v>293</v>
      </c>
      <c r="D92" s="16" t="s">
        <v>63</v>
      </c>
      <c r="E92" s="16" t="s">
        <v>350</v>
      </c>
      <c r="F92" s="16" t="s">
        <v>32</v>
      </c>
      <c r="G92" s="15" t="s">
        <v>32</v>
      </c>
      <c r="H92" s="15">
        <v>610</v>
      </c>
      <c r="I92" s="16" t="s">
        <v>65</v>
      </c>
      <c r="J92" s="16" t="s">
        <v>66</v>
      </c>
      <c r="K92" s="16" t="s">
        <v>67</v>
      </c>
      <c r="L92" s="16" t="s">
        <v>68</v>
      </c>
      <c r="M92" s="16" t="s">
        <v>69</v>
      </c>
      <c r="N92" s="15"/>
      <c r="O92" s="16" t="s">
        <v>70</v>
      </c>
      <c r="P92" s="35" t="s">
        <v>351</v>
      </c>
      <c r="Q92" s="35" t="s">
        <v>72</v>
      </c>
      <c r="R92" s="36" t="s">
        <v>73</v>
      </c>
      <c r="S92" s="36" t="s">
        <v>74</v>
      </c>
      <c r="T92" s="37">
        <v>30</v>
      </c>
      <c r="U92" s="36" t="s">
        <v>76</v>
      </c>
      <c r="V92" s="36" t="s">
        <v>302</v>
      </c>
      <c r="W92" s="35" t="s">
        <v>41</v>
      </c>
    </row>
    <row r="93" spans="1:23" ht="75" customHeight="1" x14ac:dyDescent="0.3">
      <c r="A93" s="31">
        <v>92</v>
      </c>
      <c r="B93" s="32" t="s">
        <v>352</v>
      </c>
      <c r="C93" s="32" t="s">
        <v>293</v>
      </c>
      <c r="D93" s="32" t="s">
        <v>25</v>
      </c>
      <c r="E93" s="32" t="s">
        <v>353</v>
      </c>
      <c r="F93" s="33" t="s">
        <v>354</v>
      </c>
      <c r="G93" s="31">
        <v>11</v>
      </c>
      <c r="H93" s="31">
        <v>621</v>
      </c>
      <c r="I93" s="32" t="s">
        <v>296</v>
      </c>
      <c r="J93" s="32" t="s">
        <v>297</v>
      </c>
      <c r="K93" s="32" t="s">
        <v>298</v>
      </c>
      <c r="L93" s="32" t="s">
        <v>299</v>
      </c>
      <c r="M93" s="32" t="s">
        <v>300</v>
      </c>
      <c r="N93" s="31"/>
      <c r="O93" s="32"/>
      <c r="P93" s="35" t="s">
        <v>355</v>
      </c>
      <c r="Q93" s="35" t="s">
        <v>100</v>
      </c>
      <c r="R93" s="36" t="s">
        <v>101</v>
      </c>
      <c r="S93" s="36" t="s">
        <v>102</v>
      </c>
      <c r="T93" s="37">
        <v>30</v>
      </c>
      <c r="U93" s="36" t="s">
        <v>39</v>
      </c>
      <c r="V93" s="36" t="s">
        <v>302</v>
      </c>
      <c r="W93" s="35" t="s">
        <v>41</v>
      </c>
    </row>
    <row r="94" spans="1:23" ht="75" customHeight="1" x14ac:dyDescent="0.3">
      <c r="A94" s="31">
        <v>93</v>
      </c>
      <c r="B94" s="32" t="s">
        <v>352</v>
      </c>
      <c r="C94" s="32" t="s">
        <v>293</v>
      </c>
      <c r="D94" s="32" t="s">
        <v>25</v>
      </c>
      <c r="E94" s="32" t="s">
        <v>353</v>
      </c>
      <c r="F94" s="33" t="s">
        <v>356</v>
      </c>
      <c r="G94" s="31">
        <v>11</v>
      </c>
      <c r="H94" s="31">
        <v>632</v>
      </c>
      <c r="I94" s="32" t="s">
        <v>304</v>
      </c>
      <c r="J94" s="32" t="s">
        <v>305</v>
      </c>
      <c r="K94" s="32" t="s">
        <v>306</v>
      </c>
      <c r="L94" s="32" t="s">
        <v>307</v>
      </c>
      <c r="M94" s="32" t="s">
        <v>300</v>
      </c>
      <c r="N94" s="31"/>
      <c r="O94" s="32"/>
      <c r="P94" s="35" t="s">
        <v>357</v>
      </c>
      <c r="Q94" s="35" t="s">
        <v>100</v>
      </c>
      <c r="R94" s="36" t="s">
        <v>109</v>
      </c>
      <c r="S94" s="36" t="s">
        <v>102</v>
      </c>
      <c r="T94" s="37">
        <v>30</v>
      </c>
      <c r="U94" s="36" t="s">
        <v>39</v>
      </c>
      <c r="V94" s="36" t="s">
        <v>302</v>
      </c>
      <c r="W94" s="35" t="s">
        <v>41</v>
      </c>
    </row>
    <row r="95" spans="1:23" ht="75" customHeight="1" x14ac:dyDescent="0.3">
      <c r="A95" s="31">
        <v>94</v>
      </c>
      <c r="B95" s="32" t="s">
        <v>352</v>
      </c>
      <c r="C95" s="32" t="s">
        <v>293</v>
      </c>
      <c r="D95" s="32" t="s">
        <v>25</v>
      </c>
      <c r="E95" s="32" t="s">
        <v>353</v>
      </c>
      <c r="F95" s="32" t="s">
        <v>32</v>
      </c>
      <c r="G95" s="31" t="s">
        <v>32</v>
      </c>
      <c r="H95" s="31">
        <v>632</v>
      </c>
      <c r="I95" s="32" t="s">
        <v>309</v>
      </c>
      <c r="J95" s="32" t="s">
        <v>310</v>
      </c>
      <c r="K95" s="32" t="s">
        <v>311</v>
      </c>
      <c r="L95" s="32" t="s">
        <v>312</v>
      </c>
      <c r="M95" s="32" t="s">
        <v>300</v>
      </c>
      <c r="N95" s="31"/>
      <c r="O95" s="32"/>
      <c r="P95" s="35" t="s">
        <v>358</v>
      </c>
      <c r="Q95" s="35" t="s">
        <v>115</v>
      </c>
      <c r="R95" s="36" t="s">
        <v>116</v>
      </c>
      <c r="S95" s="36" t="s">
        <v>102</v>
      </c>
      <c r="T95" s="37">
        <v>30</v>
      </c>
      <c r="U95" s="36" t="s">
        <v>39</v>
      </c>
      <c r="V95" s="36" t="s">
        <v>302</v>
      </c>
      <c r="W95" s="35" t="s">
        <v>41</v>
      </c>
    </row>
    <row r="96" spans="1:23" ht="75" customHeight="1" x14ac:dyDescent="0.3">
      <c r="A96" s="31">
        <v>95</v>
      </c>
      <c r="B96" s="32" t="s">
        <v>352</v>
      </c>
      <c r="C96" s="32" t="s">
        <v>293</v>
      </c>
      <c r="D96" s="32" t="s">
        <v>25</v>
      </c>
      <c r="E96" s="32" t="s">
        <v>359</v>
      </c>
      <c r="F96" s="33" t="s">
        <v>360</v>
      </c>
      <c r="G96" s="31">
        <v>11</v>
      </c>
      <c r="H96" s="31">
        <v>643</v>
      </c>
      <c r="I96" s="32" t="s">
        <v>296</v>
      </c>
      <c r="J96" s="32" t="s">
        <v>297</v>
      </c>
      <c r="K96" s="32" t="s">
        <v>298</v>
      </c>
      <c r="L96" s="32" t="s">
        <v>299</v>
      </c>
      <c r="M96" s="32" t="s">
        <v>300</v>
      </c>
      <c r="N96" s="31"/>
      <c r="O96" s="32"/>
      <c r="P96" s="35" t="s">
        <v>361</v>
      </c>
      <c r="Q96" s="35" t="s">
        <v>100</v>
      </c>
      <c r="R96" s="36" t="s">
        <v>101</v>
      </c>
      <c r="S96" s="36" t="s">
        <v>102</v>
      </c>
      <c r="T96" s="37">
        <v>30</v>
      </c>
      <c r="U96" s="36" t="s">
        <v>39</v>
      </c>
      <c r="V96" s="36" t="s">
        <v>302</v>
      </c>
      <c r="W96" s="35" t="s">
        <v>41</v>
      </c>
    </row>
    <row r="97" spans="1:23" ht="75" customHeight="1" x14ac:dyDescent="0.3">
      <c r="A97" s="31">
        <v>96</v>
      </c>
      <c r="B97" s="32" t="s">
        <v>352</v>
      </c>
      <c r="C97" s="32" t="s">
        <v>293</v>
      </c>
      <c r="D97" s="32" t="s">
        <v>25</v>
      </c>
      <c r="E97" s="32" t="s">
        <v>359</v>
      </c>
      <c r="F97" s="33" t="s">
        <v>362</v>
      </c>
      <c r="G97" s="31">
        <v>10</v>
      </c>
      <c r="H97" s="31">
        <v>653</v>
      </c>
      <c r="I97" s="32" t="s">
        <v>363</v>
      </c>
      <c r="J97" s="32" t="s">
        <v>305</v>
      </c>
      <c r="K97" s="32" t="s">
        <v>364</v>
      </c>
      <c r="L97" s="32" t="s">
        <v>365</v>
      </c>
      <c r="M97" s="32" t="s">
        <v>300</v>
      </c>
      <c r="N97" s="31"/>
      <c r="O97" s="32"/>
      <c r="P97" s="35" t="s">
        <v>366</v>
      </c>
      <c r="Q97" s="35" t="s">
        <v>100</v>
      </c>
      <c r="R97" s="36" t="s">
        <v>109</v>
      </c>
      <c r="S97" s="36" t="s">
        <v>102</v>
      </c>
      <c r="T97" s="37">
        <v>30</v>
      </c>
      <c r="U97" s="36" t="s">
        <v>39</v>
      </c>
      <c r="V97" s="36" t="s">
        <v>302</v>
      </c>
      <c r="W97" s="35" t="s">
        <v>41</v>
      </c>
    </row>
    <row r="98" spans="1:23" ht="75" customHeight="1" x14ac:dyDescent="0.3">
      <c r="A98" s="31">
        <v>97</v>
      </c>
      <c r="B98" s="32" t="s">
        <v>352</v>
      </c>
      <c r="C98" s="32" t="s">
        <v>293</v>
      </c>
      <c r="D98" s="32" t="s">
        <v>25</v>
      </c>
      <c r="E98" s="32" t="s">
        <v>367</v>
      </c>
      <c r="F98" s="33" t="s">
        <v>368</v>
      </c>
      <c r="G98" s="31">
        <v>10</v>
      </c>
      <c r="H98" s="31">
        <v>663</v>
      </c>
      <c r="I98" s="32" t="s">
        <v>296</v>
      </c>
      <c r="J98" s="32" t="s">
        <v>297</v>
      </c>
      <c r="K98" s="32" t="s">
        <v>298</v>
      </c>
      <c r="L98" s="32" t="s">
        <v>299</v>
      </c>
      <c r="M98" s="32" t="s">
        <v>300</v>
      </c>
      <c r="N98" s="31"/>
      <c r="O98" s="32"/>
      <c r="P98" s="35" t="s">
        <v>369</v>
      </c>
      <c r="Q98" s="35" t="s">
        <v>115</v>
      </c>
      <c r="R98" s="36" t="s">
        <v>116</v>
      </c>
      <c r="S98" s="36" t="s">
        <v>102</v>
      </c>
      <c r="T98" s="37">
        <v>30</v>
      </c>
      <c r="U98" s="36" t="s">
        <v>39</v>
      </c>
      <c r="V98" s="36" t="s">
        <v>302</v>
      </c>
      <c r="W98" s="35" t="s">
        <v>41</v>
      </c>
    </row>
    <row r="99" spans="1:23" ht="75" customHeight="1" x14ac:dyDescent="0.3">
      <c r="A99" s="15">
        <v>98</v>
      </c>
      <c r="B99" s="16" t="s">
        <v>352</v>
      </c>
      <c r="C99" s="16" t="s">
        <v>293</v>
      </c>
      <c r="D99" s="16" t="s">
        <v>63</v>
      </c>
      <c r="E99" s="16" t="s">
        <v>370</v>
      </c>
      <c r="F99" s="16" t="s">
        <v>32</v>
      </c>
      <c r="G99" s="15" t="s">
        <v>32</v>
      </c>
      <c r="H99" s="15">
        <v>663</v>
      </c>
      <c r="I99" s="16" t="s">
        <v>65</v>
      </c>
      <c r="J99" s="16" t="s">
        <v>66</v>
      </c>
      <c r="K99" s="16" t="s">
        <v>67</v>
      </c>
      <c r="L99" s="16" t="s">
        <v>68</v>
      </c>
      <c r="M99" s="16" t="s">
        <v>69</v>
      </c>
      <c r="N99" s="15"/>
      <c r="O99" s="16" t="s">
        <v>70</v>
      </c>
      <c r="P99" s="35" t="s">
        <v>371</v>
      </c>
      <c r="Q99" s="35" t="s">
        <v>72</v>
      </c>
      <c r="R99" s="36" t="s">
        <v>73</v>
      </c>
      <c r="S99" s="36" t="s">
        <v>74</v>
      </c>
      <c r="T99" s="37">
        <v>30</v>
      </c>
      <c r="U99" s="36" t="s">
        <v>76</v>
      </c>
      <c r="V99" s="36" t="s">
        <v>302</v>
      </c>
      <c r="W99" s="35" t="s">
        <v>41</v>
      </c>
    </row>
    <row r="100" spans="1:23" ht="75" customHeight="1" x14ac:dyDescent="0.3">
      <c r="A100" s="31">
        <v>99</v>
      </c>
      <c r="B100" s="32" t="s">
        <v>372</v>
      </c>
      <c r="C100" s="32" t="s">
        <v>293</v>
      </c>
      <c r="D100" s="32" t="s">
        <v>25</v>
      </c>
      <c r="E100" s="32" t="s">
        <v>367</v>
      </c>
      <c r="F100" s="33" t="s">
        <v>373</v>
      </c>
      <c r="G100" s="31">
        <v>10</v>
      </c>
      <c r="H100" s="31">
        <v>673</v>
      </c>
      <c r="I100" s="32" t="s">
        <v>363</v>
      </c>
      <c r="J100" s="32" t="s">
        <v>305</v>
      </c>
      <c r="K100" s="32" t="s">
        <v>364</v>
      </c>
      <c r="L100" s="32" t="s">
        <v>365</v>
      </c>
      <c r="M100" s="32" t="s">
        <v>300</v>
      </c>
      <c r="N100" s="31"/>
      <c r="O100" s="32"/>
      <c r="P100" s="35" t="s">
        <v>374</v>
      </c>
      <c r="Q100" s="35" t="s">
        <v>100</v>
      </c>
      <c r="R100" s="36" t="s">
        <v>109</v>
      </c>
      <c r="S100" s="36" t="s">
        <v>102</v>
      </c>
      <c r="T100" s="37">
        <v>30</v>
      </c>
      <c r="U100" s="36" t="s">
        <v>39</v>
      </c>
      <c r="V100" s="36" t="s">
        <v>302</v>
      </c>
      <c r="W100" s="35" t="s">
        <v>41</v>
      </c>
    </row>
    <row r="101" spans="1:23" ht="75" customHeight="1" x14ac:dyDescent="0.3">
      <c r="A101" s="31">
        <v>100</v>
      </c>
      <c r="B101" s="32" t="s">
        <v>372</v>
      </c>
      <c r="C101" s="32" t="s">
        <v>293</v>
      </c>
      <c r="D101" s="32" t="s">
        <v>25</v>
      </c>
      <c r="E101" s="32" t="s">
        <v>375</v>
      </c>
      <c r="F101" s="33" t="s">
        <v>376</v>
      </c>
      <c r="G101" s="31">
        <v>10</v>
      </c>
      <c r="H101" s="31">
        <v>683</v>
      </c>
      <c r="I101" s="32" t="s">
        <v>296</v>
      </c>
      <c r="J101" s="32" t="s">
        <v>297</v>
      </c>
      <c r="K101" s="32" t="s">
        <v>298</v>
      </c>
      <c r="L101" s="32" t="s">
        <v>299</v>
      </c>
      <c r="M101" s="32" t="s">
        <v>300</v>
      </c>
      <c r="N101" s="31"/>
      <c r="O101" s="32"/>
      <c r="P101" s="35" t="s">
        <v>377</v>
      </c>
      <c r="Q101" s="35" t="s">
        <v>115</v>
      </c>
      <c r="R101" s="36" t="s">
        <v>116</v>
      </c>
      <c r="S101" s="36" t="s">
        <v>102</v>
      </c>
      <c r="T101" s="37">
        <v>30</v>
      </c>
      <c r="U101" s="36" t="s">
        <v>39</v>
      </c>
      <c r="V101" s="36" t="s">
        <v>302</v>
      </c>
      <c r="W101" s="35" t="s">
        <v>41</v>
      </c>
    </row>
    <row r="102" spans="1:23" ht="75" customHeight="1" x14ac:dyDescent="0.3">
      <c r="A102" s="31">
        <v>101</v>
      </c>
      <c r="B102" s="32" t="s">
        <v>372</v>
      </c>
      <c r="C102" s="32" t="s">
        <v>293</v>
      </c>
      <c r="D102" s="32" t="s">
        <v>25</v>
      </c>
      <c r="E102" s="32" t="s">
        <v>375</v>
      </c>
      <c r="F102" s="33" t="s">
        <v>378</v>
      </c>
      <c r="G102" s="31">
        <v>10</v>
      </c>
      <c r="H102" s="31">
        <v>693</v>
      </c>
      <c r="I102" s="32" t="s">
        <v>363</v>
      </c>
      <c r="J102" s="32" t="s">
        <v>305</v>
      </c>
      <c r="K102" s="32" t="s">
        <v>364</v>
      </c>
      <c r="L102" s="32" t="s">
        <v>365</v>
      </c>
      <c r="M102" s="32" t="s">
        <v>300</v>
      </c>
      <c r="N102" s="31"/>
      <c r="O102" s="32"/>
      <c r="P102" s="35" t="s">
        <v>379</v>
      </c>
      <c r="Q102" s="35" t="s">
        <v>100</v>
      </c>
      <c r="R102" s="36" t="s">
        <v>101</v>
      </c>
      <c r="S102" s="36" t="s">
        <v>102</v>
      </c>
      <c r="T102" s="37">
        <v>30</v>
      </c>
      <c r="U102" s="36" t="s">
        <v>39</v>
      </c>
      <c r="V102" s="36" t="s">
        <v>302</v>
      </c>
      <c r="W102" s="35" t="s">
        <v>41</v>
      </c>
    </row>
    <row r="103" spans="1:23" ht="75" customHeight="1" x14ac:dyDescent="0.3">
      <c r="A103" s="31">
        <v>102</v>
      </c>
      <c r="B103" s="32" t="s">
        <v>372</v>
      </c>
      <c r="C103" s="32" t="s">
        <v>293</v>
      </c>
      <c r="D103" s="32" t="s">
        <v>25</v>
      </c>
      <c r="E103" s="32" t="s">
        <v>380</v>
      </c>
      <c r="F103" s="33" t="s">
        <v>381</v>
      </c>
      <c r="G103" s="31">
        <v>10</v>
      </c>
      <c r="H103" s="31">
        <v>703</v>
      </c>
      <c r="I103" s="32" t="s">
        <v>296</v>
      </c>
      <c r="J103" s="32" t="s">
        <v>297</v>
      </c>
      <c r="K103" s="32" t="s">
        <v>298</v>
      </c>
      <c r="L103" s="32" t="s">
        <v>299</v>
      </c>
      <c r="M103" s="32" t="s">
        <v>300</v>
      </c>
      <c r="N103" s="31"/>
      <c r="O103" s="32"/>
      <c r="P103" s="35" t="s">
        <v>382</v>
      </c>
      <c r="Q103" s="35" t="s">
        <v>100</v>
      </c>
      <c r="R103" s="36" t="s">
        <v>109</v>
      </c>
      <c r="S103" s="36" t="s">
        <v>102</v>
      </c>
      <c r="T103" s="37">
        <v>30</v>
      </c>
      <c r="U103" s="36" t="s">
        <v>39</v>
      </c>
      <c r="V103" s="36" t="s">
        <v>302</v>
      </c>
      <c r="W103" s="35" t="s">
        <v>41</v>
      </c>
    </row>
    <row r="104" spans="1:23" ht="75" customHeight="1" x14ac:dyDescent="0.3">
      <c r="A104" s="31">
        <v>103</v>
      </c>
      <c r="B104" s="32" t="s">
        <v>372</v>
      </c>
      <c r="C104" s="32" t="s">
        <v>293</v>
      </c>
      <c r="D104" s="32" t="s">
        <v>25</v>
      </c>
      <c r="E104" s="32" t="s">
        <v>380</v>
      </c>
      <c r="F104" s="33" t="s">
        <v>383</v>
      </c>
      <c r="G104" s="31">
        <v>10</v>
      </c>
      <c r="H104" s="31">
        <v>713</v>
      </c>
      <c r="I104" s="32" t="s">
        <v>363</v>
      </c>
      <c r="J104" s="32" t="s">
        <v>305</v>
      </c>
      <c r="K104" s="32" t="s">
        <v>364</v>
      </c>
      <c r="L104" s="32" t="s">
        <v>365</v>
      </c>
      <c r="M104" s="32" t="s">
        <v>300</v>
      </c>
      <c r="N104" s="31"/>
      <c r="O104" s="32"/>
      <c r="P104" s="35" t="s">
        <v>384</v>
      </c>
      <c r="Q104" s="35" t="s">
        <v>115</v>
      </c>
      <c r="R104" s="36" t="s">
        <v>116</v>
      </c>
      <c r="S104" s="36" t="s">
        <v>102</v>
      </c>
      <c r="T104" s="37">
        <v>30</v>
      </c>
      <c r="U104" s="36" t="s">
        <v>39</v>
      </c>
      <c r="V104" s="36" t="s">
        <v>302</v>
      </c>
      <c r="W104" s="35" t="s">
        <v>41</v>
      </c>
    </row>
    <row r="105" spans="1:23" ht="75" customHeight="1" x14ac:dyDescent="0.3">
      <c r="A105" s="31">
        <v>104</v>
      </c>
      <c r="B105" s="32" t="s">
        <v>372</v>
      </c>
      <c r="C105" s="32" t="s">
        <v>293</v>
      </c>
      <c r="D105" s="32" t="s">
        <v>25</v>
      </c>
      <c r="E105" s="32" t="s">
        <v>385</v>
      </c>
      <c r="F105" s="33" t="s">
        <v>386</v>
      </c>
      <c r="G105" s="31">
        <v>10</v>
      </c>
      <c r="H105" s="31">
        <v>723</v>
      </c>
      <c r="I105" s="32" t="s">
        <v>296</v>
      </c>
      <c r="J105" s="32" t="s">
        <v>297</v>
      </c>
      <c r="K105" s="32" t="s">
        <v>298</v>
      </c>
      <c r="L105" s="32" t="s">
        <v>299</v>
      </c>
      <c r="M105" s="32" t="s">
        <v>300</v>
      </c>
      <c r="N105" s="31"/>
      <c r="O105" s="32"/>
      <c r="P105" s="35" t="s">
        <v>387</v>
      </c>
      <c r="Q105" s="35" t="s">
        <v>100</v>
      </c>
      <c r="R105" s="36" t="s">
        <v>101</v>
      </c>
      <c r="S105" s="36" t="s">
        <v>102</v>
      </c>
      <c r="T105" s="37">
        <v>30</v>
      </c>
      <c r="U105" s="36" t="s">
        <v>39</v>
      </c>
      <c r="V105" s="36" t="s">
        <v>302</v>
      </c>
      <c r="W105" s="35" t="s">
        <v>41</v>
      </c>
    </row>
    <row r="106" spans="1:23" ht="75" customHeight="1" x14ac:dyDescent="0.3">
      <c r="A106" s="15">
        <v>105</v>
      </c>
      <c r="B106" s="16" t="s">
        <v>372</v>
      </c>
      <c r="C106" s="16" t="s">
        <v>293</v>
      </c>
      <c r="D106" s="16" t="s">
        <v>63</v>
      </c>
      <c r="E106" s="16" t="s">
        <v>388</v>
      </c>
      <c r="F106" s="16" t="s">
        <v>32</v>
      </c>
      <c r="G106" s="15" t="s">
        <v>32</v>
      </c>
      <c r="H106" s="15">
        <v>723</v>
      </c>
      <c r="I106" s="16" t="s">
        <v>65</v>
      </c>
      <c r="J106" s="16" t="s">
        <v>66</v>
      </c>
      <c r="K106" s="16" t="s">
        <v>67</v>
      </c>
      <c r="L106" s="16" t="s">
        <v>68</v>
      </c>
      <c r="M106" s="16" t="s">
        <v>69</v>
      </c>
      <c r="N106" s="15"/>
      <c r="O106" s="16" t="s">
        <v>70</v>
      </c>
      <c r="P106" s="35" t="s">
        <v>389</v>
      </c>
      <c r="Q106" s="35" t="s">
        <v>72</v>
      </c>
      <c r="R106" s="36" t="s">
        <v>73</v>
      </c>
      <c r="S106" s="36" t="s">
        <v>74</v>
      </c>
      <c r="T106" s="37">
        <v>30</v>
      </c>
      <c r="U106" s="36" t="s">
        <v>76</v>
      </c>
      <c r="V106" s="36" t="s">
        <v>302</v>
      </c>
      <c r="W106" s="35" t="s">
        <v>41</v>
      </c>
    </row>
    <row r="107" spans="1:23" ht="75" customHeight="1" x14ac:dyDescent="0.3">
      <c r="A107" s="31">
        <v>106</v>
      </c>
      <c r="B107" s="32" t="s">
        <v>390</v>
      </c>
      <c r="C107" s="32" t="s">
        <v>293</v>
      </c>
      <c r="D107" s="32" t="s">
        <v>25</v>
      </c>
      <c r="E107" s="32" t="s">
        <v>385</v>
      </c>
      <c r="F107" s="33" t="s">
        <v>391</v>
      </c>
      <c r="G107" s="31">
        <v>10</v>
      </c>
      <c r="H107" s="31">
        <v>733</v>
      </c>
      <c r="I107" s="32" t="s">
        <v>363</v>
      </c>
      <c r="J107" s="32" t="s">
        <v>305</v>
      </c>
      <c r="K107" s="32" t="s">
        <v>364</v>
      </c>
      <c r="L107" s="32" t="s">
        <v>365</v>
      </c>
      <c r="M107" s="32" t="s">
        <v>300</v>
      </c>
      <c r="N107" s="31"/>
      <c r="O107" s="32"/>
      <c r="P107" s="35" t="s">
        <v>392</v>
      </c>
      <c r="Q107" s="35" t="s">
        <v>115</v>
      </c>
      <c r="R107" s="36" t="s">
        <v>116</v>
      </c>
      <c r="S107" s="36" t="s">
        <v>102</v>
      </c>
      <c r="T107" s="37">
        <v>30</v>
      </c>
      <c r="U107" s="36" t="s">
        <v>39</v>
      </c>
      <c r="V107" s="36" t="s">
        <v>302</v>
      </c>
      <c r="W107" s="35" t="s">
        <v>41</v>
      </c>
    </row>
    <row r="108" spans="1:23" ht="75" customHeight="1" x14ac:dyDescent="0.3">
      <c r="A108" s="31">
        <v>107</v>
      </c>
      <c r="B108" s="32" t="s">
        <v>390</v>
      </c>
      <c r="C108" s="32" t="s">
        <v>293</v>
      </c>
      <c r="D108" s="32" t="s">
        <v>25</v>
      </c>
      <c r="E108" s="32" t="s">
        <v>393</v>
      </c>
      <c r="F108" s="33" t="s">
        <v>394</v>
      </c>
      <c r="G108" s="31">
        <v>10</v>
      </c>
      <c r="H108" s="31">
        <v>743</v>
      </c>
      <c r="I108" s="32" t="s">
        <v>296</v>
      </c>
      <c r="J108" s="32" t="s">
        <v>297</v>
      </c>
      <c r="K108" s="32" t="s">
        <v>298</v>
      </c>
      <c r="L108" s="32" t="s">
        <v>299</v>
      </c>
      <c r="M108" s="32" t="s">
        <v>300</v>
      </c>
      <c r="N108" s="31"/>
      <c r="O108" s="32"/>
      <c r="P108" s="35" t="s">
        <v>395</v>
      </c>
      <c r="Q108" s="35" t="s">
        <v>100</v>
      </c>
      <c r="R108" s="36" t="s">
        <v>101</v>
      </c>
      <c r="S108" s="36" t="s">
        <v>102</v>
      </c>
      <c r="T108" s="37">
        <v>30</v>
      </c>
      <c r="U108" s="36" t="s">
        <v>39</v>
      </c>
      <c r="V108" s="36" t="s">
        <v>302</v>
      </c>
      <c r="W108" s="35" t="s">
        <v>41</v>
      </c>
    </row>
    <row r="109" spans="1:23" ht="75" customHeight="1" x14ac:dyDescent="0.3">
      <c r="A109" s="31">
        <v>108</v>
      </c>
      <c r="B109" s="32" t="s">
        <v>390</v>
      </c>
      <c r="C109" s="32" t="s">
        <v>293</v>
      </c>
      <c r="D109" s="32" t="s">
        <v>25</v>
      </c>
      <c r="E109" s="32" t="s">
        <v>393</v>
      </c>
      <c r="F109" s="33" t="s">
        <v>396</v>
      </c>
      <c r="G109" s="31">
        <v>10</v>
      </c>
      <c r="H109" s="31">
        <v>753</v>
      </c>
      <c r="I109" s="32" t="s">
        <v>363</v>
      </c>
      <c r="J109" s="32" t="s">
        <v>305</v>
      </c>
      <c r="K109" s="32" t="s">
        <v>364</v>
      </c>
      <c r="L109" s="32" t="s">
        <v>365</v>
      </c>
      <c r="M109" s="32" t="s">
        <v>300</v>
      </c>
      <c r="N109" s="31"/>
      <c r="O109" s="32"/>
      <c r="P109" s="35" t="s">
        <v>397</v>
      </c>
      <c r="Q109" s="35" t="s">
        <v>100</v>
      </c>
      <c r="R109" s="36" t="s">
        <v>109</v>
      </c>
      <c r="S109" s="36" t="s">
        <v>102</v>
      </c>
      <c r="T109" s="37">
        <v>30</v>
      </c>
      <c r="U109" s="36" t="s">
        <v>39</v>
      </c>
      <c r="V109" s="36" t="s">
        <v>302</v>
      </c>
      <c r="W109" s="35" t="s">
        <v>41</v>
      </c>
    </row>
    <row r="110" spans="1:23" ht="75" customHeight="1" x14ac:dyDescent="0.3">
      <c r="A110" s="31">
        <v>109</v>
      </c>
      <c r="B110" s="32" t="s">
        <v>390</v>
      </c>
      <c r="C110" s="32" t="s">
        <v>293</v>
      </c>
      <c r="D110" s="32" t="s">
        <v>25</v>
      </c>
      <c r="E110" s="32" t="s">
        <v>398</v>
      </c>
      <c r="F110" s="33" t="s">
        <v>399</v>
      </c>
      <c r="G110" s="31">
        <v>10</v>
      </c>
      <c r="H110" s="31">
        <v>763</v>
      </c>
      <c r="I110" s="32" t="s">
        <v>296</v>
      </c>
      <c r="J110" s="32" t="s">
        <v>297</v>
      </c>
      <c r="K110" s="32" t="s">
        <v>298</v>
      </c>
      <c r="L110" s="32" t="s">
        <v>299</v>
      </c>
      <c r="M110" s="32" t="s">
        <v>300</v>
      </c>
      <c r="N110" s="31"/>
      <c r="O110" s="32"/>
      <c r="P110" s="35" t="s">
        <v>400</v>
      </c>
      <c r="Q110" s="35" t="s">
        <v>115</v>
      </c>
      <c r="R110" s="36" t="s">
        <v>116</v>
      </c>
      <c r="S110" s="36" t="s">
        <v>102</v>
      </c>
      <c r="T110" s="37">
        <v>30</v>
      </c>
      <c r="U110" s="36" t="s">
        <v>39</v>
      </c>
      <c r="V110" s="36" t="s">
        <v>302</v>
      </c>
      <c r="W110" s="35" t="s">
        <v>41</v>
      </c>
    </row>
    <row r="111" spans="1:23" ht="75" customHeight="1" x14ac:dyDescent="0.3">
      <c r="A111" s="31">
        <v>110</v>
      </c>
      <c r="B111" s="32" t="s">
        <v>390</v>
      </c>
      <c r="C111" s="32" t="s">
        <v>293</v>
      </c>
      <c r="D111" s="32" t="s">
        <v>25</v>
      </c>
      <c r="E111" s="32" t="s">
        <v>398</v>
      </c>
      <c r="F111" s="33" t="s">
        <v>401</v>
      </c>
      <c r="G111" s="31">
        <v>10</v>
      </c>
      <c r="H111" s="31">
        <v>773</v>
      </c>
      <c r="I111" s="32" t="s">
        <v>363</v>
      </c>
      <c r="J111" s="32" t="s">
        <v>305</v>
      </c>
      <c r="K111" s="32" t="s">
        <v>364</v>
      </c>
      <c r="L111" s="32" t="s">
        <v>365</v>
      </c>
      <c r="M111" s="32" t="s">
        <v>300</v>
      </c>
      <c r="N111" s="31"/>
      <c r="O111" s="32"/>
      <c r="P111" s="35" t="s">
        <v>402</v>
      </c>
      <c r="Q111" s="35" t="s">
        <v>100</v>
      </c>
      <c r="R111" s="36" t="s">
        <v>101</v>
      </c>
      <c r="S111" s="36" t="s">
        <v>102</v>
      </c>
      <c r="T111" s="37">
        <v>30</v>
      </c>
      <c r="U111" s="36" t="s">
        <v>39</v>
      </c>
      <c r="V111" s="36" t="s">
        <v>302</v>
      </c>
      <c r="W111" s="35" t="s">
        <v>41</v>
      </c>
    </row>
    <row r="112" spans="1:23" ht="75" customHeight="1" x14ac:dyDescent="0.3">
      <c r="A112" s="31">
        <v>111</v>
      </c>
      <c r="B112" s="32" t="s">
        <v>390</v>
      </c>
      <c r="C112" s="32" t="s">
        <v>293</v>
      </c>
      <c r="D112" s="32" t="s">
        <v>25</v>
      </c>
      <c r="E112" s="32" t="s">
        <v>403</v>
      </c>
      <c r="F112" s="33" t="s">
        <v>404</v>
      </c>
      <c r="G112" s="31">
        <v>10</v>
      </c>
      <c r="H112" s="31">
        <v>783</v>
      </c>
      <c r="I112" s="32" t="s">
        <v>296</v>
      </c>
      <c r="J112" s="32" t="s">
        <v>297</v>
      </c>
      <c r="K112" s="32" t="s">
        <v>298</v>
      </c>
      <c r="L112" s="32" t="s">
        <v>299</v>
      </c>
      <c r="M112" s="32" t="s">
        <v>300</v>
      </c>
      <c r="N112" s="31"/>
      <c r="O112" s="32"/>
      <c r="P112" s="35" t="s">
        <v>405</v>
      </c>
      <c r="Q112" s="35" t="s">
        <v>100</v>
      </c>
      <c r="R112" s="36" t="s">
        <v>109</v>
      </c>
      <c r="S112" s="36" t="s">
        <v>102</v>
      </c>
      <c r="T112" s="37">
        <v>30</v>
      </c>
      <c r="U112" s="36" t="s">
        <v>39</v>
      </c>
      <c r="V112" s="36" t="s">
        <v>302</v>
      </c>
      <c r="W112" s="35" t="s">
        <v>41</v>
      </c>
    </row>
    <row r="113" spans="1:23" ht="75" customHeight="1" x14ac:dyDescent="0.3">
      <c r="A113" s="15">
        <v>112</v>
      </c>
      <c r="B113" s="16" t="s">
        <v>390</v>
      </c>
      <c r="C113" s="16" t="s">
        <v>293</v>
      </c>
      <c r="D113" s="16" t="s">
        <v>63</v>
      </c>
      <c r="E113" s="16" t="s">
        <v>406</v>
      </c>
      <c r="F113" s="16" t="s">
        <v>32</v>
      </c>
      <c r="G113" s="15" t="s">
        <v>32</v>
      </c>
      <c r="H113" s="15">
        <v>783</v>
      </c>
      <c r="I113" s="16" t="s">
        <v>65</v>
      </c>
      <c r="J113" s="16" t="s">
        <v>66</v>
      </c>
      <c r="K113" s="16" t="s">
        <v>67</v>
      </c>
      <c r="L113" s="16" t="s">
        <v>68</v>
      </c>
      <c r="M113" s="16" t="s">
        <v>69</v>
      </c>
      <c r="N113" s="15"/>
      <c r="O113" s="16" t="s">
        <v>70</v>
      </c>
      <c r="P113" s="35" t="s">
        <v>407</v>
      </c>
      <c r="Q113" s="35" t="s">
        <v>72</v>
      </c>
      <c r="R113" s="36" t="s">
        <v>73</v>
      </c>
      <c r="S113" s="36" t="s">
        <v>74</v>
      </c>
      <c r="T113" s="37">
        <v>30</v>
      </c>
      <c r="U113" s="36" t="s">
        <v>76</v>
      </c>
      <c r="V113" s="36" t="s">
        <v>302</v>
      </c>
      <c r="W113" s="35" t="s">
        <v>41</v>
      </c>
    </row>
    <row r="114" spans="1:23" ht="75" customHeight="1" x14ac:dyDescent="0.3">
      <c r="A114" s="31">
        <v>113</v>
      </c>
      <c r="B114" s="32" t="s">
        <v>408</v>
      </c>
      <c r="C114" s="32" t="s">
        <v>293</v>
      </c>
      <c r="D114" s="32" t="s">
        <v>25</v>
      </c>
      <c r="E114" s="32" t="s">
        <v>403</v>
      </c>
      <c r="F114" s="33" t="s">
        <v>409</v>
      </c>
      <c r="G114" s="31">
        <v>10</v>
      </c>
      <c r="H114" s="31">
        <v>793</v>
      </c>
      <c r="I114" s="32" t="s">
        <v>363</v>
      </c>
      <c r="J114" s="32" t="s">
        <v>305</v>
      </c>
      <c r="K114" s="32" t="s">
        <v>364</v>
      </c>
      <c r="L114" s="32" t="s">
        <v>365</v>
      </c>
      <c r="M114" s="32" t="s">
        <v>300</v>
      </c>
      <c r="N114" s="31"/>
      <c r="O114" s="32"/>
      <c r="P114" s="35" t="s">
        <v>410</v>
      </c>
      <c r="Q114" s="35" t="s">
        <v>100</v>
      </c>
      <c r="R114" s="36" t="s">
        <v>101</v>
      </c>
      <c r="S114" s="36" t="s">
        <v>102</v>
      </c>
      <c r="T114" s="37">
        <v>30</v>
      </c>
      <c r="U114" s="36" t="s">
        <v>39</v>
      </c>
      <c r="V114" s="36" t="s">
        <v>302</v>
      </c>
      <c r="W114" s="35" t="s">
        <v>41</v>
      </c>
    </row>
    <row r="115" spans="1:23" ht="75" customHeight="1" x14ac:dyDescent="0.3">
      <c r="A115" s="31">
        <v>114</v>
      </c>
      <c r="B115" s="32" t="s">
        <v>408</v>
      </c>
      <c r="C115" s="32" t="s">
        <v>293</v>
      </c>
      <c r="D115" s="32" t="s">
        <v>25</v>
      </c>
      <c r="E115" s="32" t="s">
        <v>411</v>
      </c>
      <c r="F115" s="33" t="s">
        <v>412</v>
      </c>
      <c r="G115" s="31">
        <v>10</v>
      </c>
      <c r="H115" s="31">
        <v>803</v>
      </c>
      <c r="I115" s="32" t="s">
        <v>296</v>
      </c>
      <c r="J115" s="32" t="s">
        <v>297</v>
      </c>
      <c r="K115" s="32" t="s">
        <v>298</v>
      </c>
      <c r="L115" s="32" t="s">
        <v>299</v>
      </c>
      <c r="M115" s="32" t="s">
        <v>300</v>
      </c>
      <c r="N115" s="31"/>
      <c r="O115" s="32"/>
      <c r="P115" s="35" t="s">
        <v>413</v>
      </c>
      <c r="Q115" s="35" t="s">
        <v>100</v>
      </c>
      <c r="R115" s="36" t="s">
        <v>109</v>
      </c>
      <c r="S115" s="36" t="s">
        <v>102</v>
      </c>
      <c r="T115" s="37">
        <v>30</v>
      </c>
      <c r="U115" s="36" t="s">
        <v>39</v>
      </c>
      <c r="V115" s="36" t="s">
        <v>302</v>
      </c>
      <c r="W115" s="35" t="s">
        <v>41</v>
      </c>
    </row>
    <row r="116" spans="1:23" ht="75" customHeight="1" x14ac:dyDescent="0.3">
      <c r="A116" s="31">
        <v>115</v>
      </c>
      <c r="B116" s="32" t="s">
        <v>408</v>
      </c>
      <c r="C116" s="32" t="s">
        <v>293</v>
      </c>
      <c r="D116" s="32" t="s">
        <v>25</v>
      </c>
      <c r="E116" s="32" t="s">
        <v>411</v>
      </c>
      <c r="F116" s="33" t="s">
        <v>414</v>
      </c>
      <c r="G116" s="31">
        <v>10</v>
      </c>
      <c r="H116" s="31">
        <v>813</v>
      </c>
      <c r="I116" s="32" t="s">
        <v>363</v>
      </c>
      <c r="J116" s="32" t="s">
        <v>305</v>
      </c>
      <c r="K116" s="32" t="s">
        <v>364</v>
      </c>
      <c r="L116" s="32" t="s">
        <v>365</v>
      </c>
      <c r="M116" s="32" t="s">
        <v>300</v>
      </c>
      <c r="N116" s="31"/>
      <c r="O116" s="32"/>
      <c r="P116" s="35" t="s">
        <v>415</v>
      </c>
      <c r="Q116" s="35" t="s">
        <v>115</v>
      </c>
      <c r="R116" s="36" t="s">
        <v>116</v>
      </c>
      <c r="S116" s="36" t="s">
        <v>102</v>
      </c>
      <c r="T116" s="37">
        <v>30</v>
      </c>
      <c r="U116" s="36" t="s">
        <v>39</v>
      </c>
      <c r="V116" s="36" t="s">
        <v>302</v>
      </c>
      <c r="W116" s="35" t="s">
        <v>41</v>
      </c>
    </row>
    <row r="117" spans="1:23" ht="75" customHeight="1" x14ac:dyDescent="0.3">
      <c r="A117" s="31">
        <v>116</v>
      </c>
      <c r="B117" s="32" t="s">
        <v>408</v>
      </c>
      <c r="C117" s="32" t="s">
        <v>293</v>
      </c>
      <c r="D117" s="32" t="s">
        <v>25</v>
      </c>
      <c r="E117" s="32" t="s">
        <v>416</v>
      </c>
      <c r="F117" s="33" t="s">
        <v>417</v>
      </c>
      <c r="G117" s="31">
        <v>10</v>
      </c>
      <c r="H117" s="31">
        <v>823</v>
      </c>
      <c r="I117" s="32" t="s">
        <v>296</v>
      </c>
      <c r="J117" s="32" t="s">
        <v>297</v>
      </c>
      <c r="K117" s="32" t="s">
        <v>298</v>
      </c>
      <c r="L117" s="32" t="s">
        <v>299</v>
      </c>
      <c r="M117" s="32" t="s">
        <v>300</v>
      </c>
      <c r="N117" s="31"/>
      <c r="O117" s="32"/>
      <c r="P117" s="35" t="s">
        <v>418</v>
      </c>
      <c r="Q117" s="35" t="s">
        <v>100</v>
      </c>
      <c r="R117" s="36" t="s">
        <v>101</v>
      </c>
      <c r="S117" s="36" t="s">
        <v>102</v>
      </c>
      <c r="T117" s="37">
        <v>30</v>
      </c>
      <c r="U117" s="36" t="s">
        <v>39</v>
      </c>
      <c r="V117" s="36" t="s">
        <v>302</v>
      </c>
      <c r="W117" s="35" t="s">
        <v>41</v>
      </c>
    </row>
    <row r="118" spans="1:23" ht="75" customHeight="1" x14ac:dyDescent="0.3">
      <c r="A118" s="31">
        <v>117</v>
      </c>
      <c r="B118" s="32" t="s">
        <v>408</v>
      </c>
      <c r="C118" s="32" t="s">
        <v>293</v>
      </c>
      <c r="D118" s="32" t="s">
        <v>25</v>
      </c>
      <c r="E118" s="32" t="s">
        <v>416</v>
      </c>
      <c r="F118" s="33" t="s">
        <v>419</v>
      </c>
      <c r="G118" s="31">
        <v>10</v>
      </c>
      <c r="H118" s="31">
        <v>833</v>
      </c>
      <c r="I118" s="32" t="s">
        <v>363</v>
      </c>
      <c r="J118" s="32" t="s">
        <v>305</v>
      </c>
      <c r="K118" s="32" t="s">
        <v>364</v>
      </c>
      <c r="L118" s="32" t="s">
        <v>365</v>
      </c>
      <c r="M118" s="32" t="s">
        <v>300</v>
      </c>
      <c r="N118" s="31"/>
      <c r="O118" s="32"/>
      <c r="P118" s="35" t="s">
        <v>420</v>
      </c>
      <c r="Q118" s="35" t="s">
        <v>100</v>
      </c>
      <c r="R118" s="36" t="s">
        <v>109</v>
      </c>
      <c r="S118" s="36" t="s">
        <v>102</v>
      </c>
      <c r="T118" s="37">
        <v>30</v>
      </c>
      <c r="U118" s="36" t="s">
        <v>39</v>
      </c>
      <c r="V118" s="36" t="s">
        <v>302</v>
      </c>
      <c r="W118" s="35" t="s">
        <v>41</v>
      </c>
    </row>
    <row r="119" spans="1:23" ht="75" customHeight="1" x14ac:dyDescent="0.3">
      <c r="A119" s="31">
        <v>118</v>
      </c>
      <c r="B119" s="32" t="s">
        <v>408</v>
      </c>
      <c r="C119" s="32" t="s">
        <v>293</v>
      </c>
      <c r="D119" s="32" t="s">
        <v>25</v>
      </c>
      <c r="E119" s="32" t="s">
        <v>421</v>
      </c>
      <c r="F119" s="33" t="s">
        <v>422</v>
      </c>
      <c r="G119" s="31">
        <v>10</v>
      </c>
      <c r="H119" s="31">
        <v>843</v>
      </c>
      <c r="I119" s="32" t="s">
        <v>296</v>
      </c>
      <c r="J119" s="32" t="s">
        <v>297</v>
      </c>
      <c r="K119" s="32" t="s">
        <v>298</v>
      </c>
      <c r="L119" s="32" t="s">
        <v>299</v>
      </c>
      <c r="M119" s="32" t="s">
        <v>300</v>
      </c>
      <c r="N119" s="31"/>
      <c r="O119" s="32"/>
      <c r="P119" s="35" t="s">
        <v>423</v>
      </c>
      <c r="Q119" s="35" t="s">
        <v>115</v>
      </c>
      <c r="R119" s="36" t="s">
        <v>116</v>
      </c>
      <c r="S119" s="36" t="s">
        <v>102</v>
      </c>
      <c r="T119" s="37">
        <v>30</v>
      </c>
      <c r="U119" s="36" t="s">
        <v>39</v>
      </c>
      <c r="V119" s="36" t="s">
        <v>302</v>
      </c>
      <c r="W119" s="35" t="s">
        <v>41</v>
      </c>
    </row>
    <row r="120" spans="1:23" ht="75" customHeight="1" x14ac:dyDescent="0.3">
      <c r="A120" s="15">
        <v>119</v>
      </c>
      <c r="B120" s="16" t="s">
        <v>408</v>
      </c>
      <c r="C120" s="16" t="s">
        <v>293</v>
      </c>
      <c r="D120" s="16" t="s">
        <v>63</v>
      </c>
      <c r="E120" s="16" t="s">
        <v>424</v>
      </c>
      <c r="F120" s="16" t="s">
        <v>32</v>
      </c>
      <c r="G120" s="15" t="s">
        <v>32</v>
      </c>
      <c r="H120" s="15">
        <v>843</v>
      </c>
      <c r="I120" s="16" t="s">
        <v>65</v>
      </c>
      <c r="J120" s="16" t="s">
        <v>66</v>
      </c>
      <c r="K120" s="16" t="s">
        <v>67</v>
      </c>
      <c r="L120" s="16" t="s">
        <v>68</v>
      </c>
      <c r="M120" s="16" t="s">
        <v>69</v>
      </c>
      <c r="N120" s="15"/>
      <c r="O120" s="16" t="s">
        <v>70</v>
      </c>
      <c r="P120" s="35" t="s">
        <v>425</v>
      </c>
      <c r="Q120" s="35" t="s">
        <v>72</v>
      </c>
      <c r="R120" s="36" t="s">
        <v>73</v>
      </c>
      <c r="S120" s="36" t="s">
        <v>74</v>
      </c>
      <c r="T120" s="37">
        <v>30</v>
      </c>
      <c r="U120" s="36" t="s">
        <v>76</v>
      </c>
      <c r="V120" s="36" t="s">
        <v>302</v>
      </c>
      <c r="W120" s="35" t="s">
        <v>41</v>
      </c>
    </row>
    <row r="121" spans="1:23" ht="75" customHeight="1" x14ac:dyDescent="0.3">
      <c r="A121" s="31">
        <v>120</v>
      </c>
      <c r="B121" s="32" t="s">
        <v>426</v>
      </c>
      <c r="C121" s="32" t="s">
        <v>293</v>
      </c>
      <c r="D121" s="32" t="s">
        <v>25</v>
      </c>
      <c r="E121" s="32" t="s">
        <v>421</v>
      </c>
      <c r="F121" s="33" t="s">
        <v>427</v>
      </c>
      <c r="G121" s="31">
        <v>10</v>
      </c>
      <c r="H121" s="31">
        <v>853</v>
      </c>
      <c r="I121" s="32" t="s">
        <v>363</v>
      </c>
      <c r="J121" s="32" t="s">
        <v>305</v>
      </c>
      <c r="K121" s="32" t="s">
        <v>364</v>
      </c>
      <c r="L121" s="32" t="s">
        <v>365</v>
      </c>
      <c r="M121" s="32" t="s">
        <v>300</v>
      </c>
      <c r="N121" s="31"/>
      <c r="O121" s="32"/>
      <c r="P121" s="35" t="s">
        <v>428</v>
      </c>
      <c r="Q121" s="35" t="s">
        <v>100</v>
      </c>
      <c r="R121" s="36" t="s">
        <v>109</v>
      </c>
      <c r="S121" s="36" t="s">
        <v>102</v>
      </c>
      <c r="T121" s="37">
        <v>30</v>
      </c>
      <c r="U121" s="36" t="s">
        <v>39</v>
      </c>
      <c r="V121" s="36" t="s">
        <v>302</v>
      </c>
      <c r="W121" s="35" t="s">
        <v>41</v>
      </c>
    </row>
    <row r="122" spans="1:23" ht="15.75" customHeight="1" x14ac:dyDescent="0.3"/>
    <row r="123" spans="1:23" ht="15.75" customHeight="1" x14ac:dyDescent="0.3"/>
    <row r="124" spans="1:23" ht="15.75" customHeight="1" x14ac:dyDescent="0.3"/>
    <row r="125" spans="1:23" ht="15.75" customHeight="1" x14ac:dyDescent="0.3"/>
    <row r="126" spans="1:23" ht="15.75" customHeight="1" x14ac:dyDescent="0.3"/>
    <row r="127" spans="1:23" ht="15.75" customHeight="1" x14ac:dyDescent="0.3"/>
    <row r="128" spans="1:23"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autoFilter ref="A1:W121" xr:uid="{00000000-0009-0000-0000-000000000000}"/>
  <conditionalFormatting sqref="W2:W121">
    <cfRule type="expression" dxfId="1" priority="1">
      <formula>W2="✓ Đã đóng dấu"</formula>
    </cfRule>
    <cfRule type="expression" dxfId="0" priority="2">
      <formula>W2="◐ Đang làm"</formula>
    </cfRule>
  </conditionalFormatting>
  <dataValidations count="2">
    <dataValidation type="list" allowBlank="1" sqref="N2:N121" xr:uid="{00000000-0002-0000-0000-000000000000}">
      <formula1>"Chưa,Đang làm,Hoàn thành"</formula1>
    </dataValidation>
    <dataValidation type="list" sqref="W2:W121" xr:uid="{00000000-0002-0000-0000-000001000000}">
      <formula1>"□ Chưa làm,◐ Đang làm,✓ Đã đóng dấu"</formula1>
    </dataValidation>
  </dataValidation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workbookViewId="0"/>
  </sheetViews>
  <sheetFormatPr defaultColWidth="14.44140625" defaultRowHeight="15" customHeight="1" x14ac:dyDescent="0.3"/>
  <cols>
    <col min="1" max="1" width="34" customWidth="1"/>
    <col min="2" max="2" width="26" customWidth="1"/>
    <col min="3" max="3" width="24" customWidth="1"/>
    <col min="4" max="5" width="14" customWidth="1"/>
    <col min="6" max="26" width="8.6640625" customWidth="1"/>
  </cols>
  <sheetData>
    <row r="1" spans="1:5" ht="16.8" x14ac:dyDescent="0.3">
      <c r="A1" s="40" t="s">
        <v>429</v>
      </c>
      <c r="B1" s="39"/>
      <c r="C1" s="39"/>
      <c r="D1" s="39"/>
      <c r="E1" s="39"/>
    </row>
    <row r="3" spans="1:5" ht="27.6" x14ac:dyDescent="0.3">
      <c r="A3" s="1" t="s">
        <v>430</v>
      </c>
      <c r="B3" s="1" t="s">
        <v>431</v>
      </c>
      <c r="C3" s="1" t="s">
        <v>432</v>
      </c>
      <c r="D3" s="1" t="s">
        <v>433</v>
      </c>
      <c r="E3" s="1" t="s">
        <v>434</v>
      </c>
    </row>
    <row r="4" spans="1:5" ht="14.4" x14ac:dyDescent="0.3">
      <c r="A4" s="4" t="s">
        <v>435</v>
      </c>
      <c r="B4" s="4">
        <v>223</v>
      </c>
      <c r="C4" s="4">
        <v>500</v>
      </c>
      <c r="D4" s="7">
        <f>C4-B4</f>
        <v>277</v>
      </c>
      <c r="E4" s="9">
        <f>B4/C4</f>
        <v>0.44600000000000001</v>
      </c>
    </row>
    <row r="5" spans="1:5" ht="14.4" x14ac:dyDescent="0.3">
      <c r="A5" s="4" t="s">
        <v>436</v>
      </c>
      <c r="B5" s="4">
        <v>240</v>
      </c>
      <c r="C5" s="4">
        <v>772</v>
      </c>
      <c r="D5" s="7">
        <f>C5-B5</f>
        <v>532</v>
      </c>
      <c r="E5" s="9">
        <f>B5/C5</f>
        <v>0.31088082901554404</v>
      </c>
    </row>
    <row r="6" spans="1:5" ht="14.4" x14ac:dyDescent="0.3">
      <c r="A6" s="4" t="s">
        <v>437</v>
      </c>
      <c r="B6" s="4">
        <v>375</v>
      </c>
      <c r="C6" s="4">
        <v>973</v>
      </c>
      <c r="D6" s="7">
        <f>C6-B6</f>
        <v>598</v>
      </c>
      <c r="E6" s="9">
        <f>B6/C6</f>
        <v>0.38540596094552931</v>
      </c>
    </row>
    <row r="7" spans="1:5" ht="14.4" x14ac:dyDescent="0.3">
      <c r="A7" s="11" t="s">
        <v>438</v>
      </c>
      <c r="B7" s="11">
        <f>SUM(B4:B6)</f>
        <v>838</v>
      </c>
      <c r="C7" s="11">
        <v>2245</v>
      </c>
      <c r="D7" s="7">
        <f>C7-B7</f>
        <v>1407</v>
      </c>
      <c r="E7" s="13">
        <f>B7/C7</f>
        <v>0.3732739420935412</v>
      </c>
    </row>
    <row r="10" spans="1:5" ht="14.4" x14ac:dyDescent="0.3">
      <c r="A10" s="14" t="s">
        <v>439</v>
      </c>
    </row>
    <row r="11" spans="1:5" ht="14.4" x14ac:dyDescent="0.3">
      <c r="A11" s="38" t="s">
        <v>440</v>
      </c>
      <c r="B11" s="39"/>
      <c r="C11" s="39"/>
      <c r="D11" s="39"/>
      <c r="E11" s="39"/>
    </row>
    <row r="12" spans="1:5" ht="14.4" x14ac:dyDescent="0.3">
      <c r="A12" s="38" t="s">
        <v>441</v>
      </c>
      <c r="B12" s="39"/>
      <c r="C12" s="39"/>
      <c r="D12" s="39"/>
      <c r="E12" s="39"/>
    </row>
    <row r="13" spans="1:5" ht="14.4" x14ac:dyDescent="0.3">
      <c r="A13" s="38" t="s">
        <v>442</v>
      </c>
      <c r="B13" s="39"/>
      <c r="C13" s="39"/>
      <c r="D13" s="39"/>
      <c r="E13" s="39"/>
    </row>
    <row r="14" spans="1:5" ht="14.4" x14ac:dyDescent="0.3">
      <c r="A14" s="38" t="s">
        <v>443</v>
      </c>
      <c r="B14" s="39"/>
      <c r="C14" s="39"/>
      <c r="D14" s="39"/>
      <c r="E14" s="39"/>
    </row>
    <row r="15" spans="1:5" ht="14.4" x14ac:dyDescent="0.3">
      <c r="A15" s="38" t="s">
        <v>444</v>
      </c>
      <c r="B15" s="39"/>
      <c r="C15" s="39"/>
      <c r="D15" s="39"/>
      <c r="E15" s="39"/>
    </row>
    <row r="16" spans="1:5" ht="14.4" x14ac:dyDescent="0.3">
      <c r="A16" s="38" t="s">
        <v>445</v>
      </c>
      <c r="B16" s="39"/>
      <c r="C16" s="39"/>
      <c r="D16" s="39"/>
      <c r="E16" s="39"/>
    </row>
    <row r="19" spans="1:2" ht="14.4" x14ac:dyDescent="0.3">
      <c r="A19" s="11" t="s">
        <v>446</v>
      </c>
    </row>
    <row r="20" spans="1:2" ht="14.4" x14ac:dyDescent="0.3">
      <c r="A20" s="4" t="s">
        <v>447</v>
      </c>
      <c r="B20" s="4">
        <f>COUNTIF('Ke hoach 120 ngay'!N2:N121,"Hoàn thành")</f>
        <v>0</v>
      </c>
    </row>
    <row r="21" spans="1:2" ht="15.75" customHeight="1" x14ac:dyDescent="0.3">
      <c r="A21" s="4" t="s">
        <v>448</v>
      </c>
      <c r="B21" s="4">
        <f>COUNTIF('Ke hoach 120 ngay'!N2:N121,"Đang làm")</f>
        <v>0</v>
      </c>
    </row>
    <row r="22" spans="1:2" ht="15.75" customHeight="1" x14ac:dyDescent="0.3">
      <c r="A22" s="4" t="s">
        <v>449</v>
      </c>
      <c r="B22" s="4">
        <f>COUNTIF('Ke hoach 120 ngay'!N2:N121,"Chưa")</f>
        <v>0</v>
      </c>
    </row>
    <row r="23" spans="1:2" ht="15.75" customHeight="1" x14ac:dyDescent="0.3"/>
    <row r="24" spans="1:2" ht="15.75" customHeight="1" x14ac:dyDescent="0.3"/>
    <row r="25" spans="1:2" ht="15.75" customHeight="1" x14ac:dyDescent="0.3"/>
    <row r="26" spans="1:2" ht="15.75" customHeight="1" x14ac:dyDescent="0.3"/>
    <row r="27" spans="1:2" ht="15.75" customHeight="1" x14ac:dyDescent="0.3"/>
    <row r="28" spans="1:2" ht="15.75" customHeight="1" x14ac:dyDescent="0.3"/>
    <row r="29" spans="1:2" ht="15.75" customHeight="1" x14ac:dyDescent="0.3"/>
    <row r="30" spans="1:2" ht="15.75" customHeight="1" x14ac:dyDescent="0.3"/>
    <row r="31" spans="1:2" ht="15.75" customHeight="1" x14ac:dyDescent="0.3"/>
    <row r="32" spans="1: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7">
    <mergeCell ref="A12:E12"/>
    <mergeCell ref="A16:E16"/>
    <mergeCell ref="A15:E15"/>
    <mergeCell ref="A11:E11"/>
    <mergeCell ref="A1:E1"/>
    <mergeCell ref="A13:E13"/>
    <mergeCell ref="A14:E14"/>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pane ySplit="1" topLeftCell="A2" activePane="bottomLeft" state="frozen"/>
      <selection pane="bottomLeft" activeCell="B3" sqref="B3"/>
    </sheetView>
  </sheetViews>
  <sheetFormatPr defaultColWidth="14.44140625" defaultRowHeight="15" customHeight="1" x14ac:dyDescent="0.3"/>
  <cols>
    <col min="1" max="1" width="6" customWidth="1"/>
    <col min="2" max="2" width="19.44140625" customWidth="1"/>
    <col min="3" max="3" width="18.88671875" customWidth="1"/>
    <col min="4" max="4" width="16.33203125" customWidth="1"/>
    <col min="5" max="5" width="20" customWidth="1"/>
    <col min="6" max="6" width="30" customWidth="1"/>
    <col min="7" max="26" width="8.6640625" customWidth="1"/>
  </cols>
  <sheetData>
    <row r="1" spans="1:6" ht="22.5" customHeight="1" x14ac:dyDescent="0.3">
      <c r="A1" s="12" t="s">
        <v>450</v>
      </c>
      <c r="B1" s="12" t="s">
        <v>451</v>
      </c>
      <c r="C1" s="12" t="s">
        <v>452</v>
      </c>
      <c r="D1" s="12" t="s">
        <v>453</v>
      </c>
      <c r="E1" s="12" t="s">
        <v>454</v>
      </c>
      <c r="F1" s="12" t="s">
        <v>455</v>
      </c>
    </row>
    <row r="2" spans="1:6" ht="22.5" customHeight="1" x14ac:dyDescent="0.35">
      <c r="A2" s="3">
        <v>1</v>
      </c>
      <c r="B2" s="3">
        <v>11</v>
      </c>
      <c r="C2" s="5" t="s">
        <v>456</v>
      </c>
      <c r="D2" s="3" t="s">
        <v>457</v>
      </c>
      <c r="E2" s="3" t="s">
        <v>458</v>
      </c>
      <c r="F2" s="3" t="s">
        <v>459</v>
      </c>
    </row>
    <row r="3" spans="1:6" ht="22.5" customHeight="1" x14ac:dyDescent="0.35">
      <c r="A3" s="3">
        <v>2</v>
      </c>
      <c r="B3" s="3">
        <v>11</v>
      </c>
      <c r="C3" s="5" t="s">
        <v>460</v>
      </c>
      <c r="D3" s="3" t="s">
        <v>461</v>
      </c>
      <c r="E3" s="3" t="s">
        <v>6</v>
      </c>
      <c r="F3" s="3" t="s">
        <v>462</v>
      </c>
    </row>
    <row r="4" spans="1:6" ht="22.5" customHeight="1" x14ac:dyDescent="0.35">
      <c r="A4" s="3">
        <v>3</v>
      </c>
      <c r="B4" s="3">
        <v>11</v>
      </c>
      <c r="C4" s="5" t="s">
        <v>463</v>
      </c>
      <c r="D4" s="3" t="s">
        <v>464</v>
      </c>
      <c r="E4" s="3" t="s">
        <v>465</v>
      </c>
      <c r="F4" s="3" t="s">
        <v>466</v>
      </c>
    </row>
    <row r="5" spans="1:6" ht="22.5" customHeight="1" x14ac:dyDescent="0.35">
      <c r="A5" s="3">
        <v>4</v>
      </c>
      <c r="B5" s="3">
        <v>11</v>
      </c>
      <c r="C5" s="5" t="s">
        <v>467</v>
      </c>
      <c r="D5" s="3" t="s">
        <v>468</v>
      </c>
      <c r="E5" s="3" t="s">
        <v>465</v>
      </c>
      <c r="F5" s="3" t="s">
        <v>469</v>
      </c>
    </row>
    <row r="6" spans="1:6" ht="22.5" customHeight="1" x14ac:dyDescent="0.35">
      <c r="A6" s="3">
        <v>5</v>
      </c>
      <c r="B6" s="3">
        <v>11</v>
      </c>
      <c r="C6" s="5" t="s">
        <v>470</v>
      </c>
      <c r="D6" s="3" t="s">
        <v>471</v>
      </c>
      <c r="E6" s="3" t="s">
        <v>472</v>
      </c>
      <c r="F6" s="3" t="s">
        <v>473</v>
      </c>
    </row>
    <row r="7" spans="1:6" ht="22.5" customHeight="1" x14ac:dyDescent="0.35">
      <c r="A7" s="3">
        <v>6</v>
      </c>
      <c r="B7" s="3">
        <v>11</v>
      </c>
      <c r="C7" s="5" t="s">
        <v>474</v>
      </c>
      <c r="D7" s="3" t="s">
        <v>475</v>
      </c>
      <c r="E7" s="3" t="s">
        <v>476</v>
      </c>
      <c r="F7" s="3" t="s">
        <v>477</v>
      </c>
    </row>
    <row r="8" spans="1:6" ht="22.5" customHeight="1" x14ac:dyDescent="0.35">
      <c r="A8" s="3">
        <v>7</v>
      </c>
      <c r="B8" s="3">
        <v>11</v>
      </c>
      <c r="C8" s="5" t="s">
        <v>478</v>
      </c>
      <c r="D8" s="3" t="s">
        <v>479</v>
      </c>
      <c r="E8" s="3" t="s">
        <v>480</v>
      </c>
      <c r="F8" s="3" t="s">
        <v>481</v>
      </c>
    </row>
    <row r="9" spans="1:6" ht="22.5" customHeight="1" x14ac:dyDescent="0.35">
      <c r="A9" s="3">
        <v>8</v>
      </c>
      <c r="B9" s="3">
        <v>11</v>
      </c>
      <c r="C9" s="5" t="s">
        <v>482</v>
      </c>
      <c r="D9" s="3" t="s">
        <v>483</v>
      </c>
      <c r="E9" s="3" t="s">
        <v>465</v>
      </c>
      <c r="F9" s="3" t="s">
        <v>484</v>
      </c>
    </row>
    <row r="10" spans="1:6" ht="22.5" customHeight="1" x14ac:dyDescent="0.35">
      <c r="A10" s="3">
        <v>9</v>
      </c>
      <c r="B10" s="3">
        <v>11</v>
      </c>
      <c r="C10" s="5" t="s">
        <v>485</v>
      </c>
      <c r="D10" s="3" t="s">
        <v>486</v>
      </c>
      <c r="E10" s="3" t="s">
        <v>465</v>
      </c>
      <c r="F10" s="3" t="s">
        <v>487</v>
      </c>
    </row>
    <row r="11" spans="1:6" ht="22.5" customHeight="1" x14ac:dyDescent="0.35">
      <c r="A11" s="3">
        <v>10</v>
      </c>
      <c r="B11" s="3">
        <v>11</v>
      </c>
      <c r="C11" s="5" t="s">
        <v>488</v>
      </c>
      <c r="D11" s="3" t="s">
        <v>489</v>
      </c>
      <c r="E11" s="3" t="s">
        <v>458</v>
      </c>
      <c r="F11" s="3" t="s">
        <v>490</v>
      </c>
    </row>
    <row r="12" spans="1:6" ht="22.5" customHeight="1" x14ac:dyDescent="0.35">
      <c r="A12" s="3">
        <v>11</v>
      </c>
      <c r="B12" s="3">
        <v>11</v>
      </c>
      <c r="C12" s="5" t="s">
        <v>491</v>
      </c>
      <c r="D12" s="3" t="s">
        <v>492</v>
      </c>
      <c r="E12" s="3" t="s">
        <v>465</v>
      </c>
      <c r="F12" s="3" t="s">
        <v>493</v>
      </c>
    </row>
    <row r="13" spans="1:6" ht="22.5" customHeight="1" x14ac:dyDescent="0.35">
      <c r="A13" s="3">
        <v>12</v>
      </c>
      <c r="B13" s="3">
        <v>12</v>
      </c>
      <c r="C13" s="5" t="s">
        <v>494</v>
      </c>
      <c r="D13" s="3" t="s">
        <v>495</v>
      </c>
      <c r="E13" s="3" t="s">
        <v>496</v>
      </c>
      <c r="F13" s="3" t="s">
        <v>497</v>
      </c>
    </row>
    <row r="14" spans="1:6" ht="22.5" customHeight="1" x14ac:dyDescent="0.35">
      <c r="A14" s="3">
        <v>13</v>
      </c>
      <c r="B14" s="3">
        <v>12</v>
      </c>
      <c r="C14" s="5" t="s">
        <v>498</v>
      </c>
      <c r="D14" s="3" t="s">
        <v>499</v>
      </c>
      <c r="E14" s="3" t="s">
        <v>500</v>
      </c>
      <c r="F14" s="3" t="s">
        <v>501</v>
      </c>
    </row>
    <row r="15" spans="1:6" ht="22.5" customHeight="1" x14ac:dyDescent="0.35">
      <c r="A15" s="3">
        <v>14</v>
      </c>
      <c r="B15" s="3">
        <v>12</v>
      </c>
      <c r="C15" s="5" t="s">
        <v>502</v>
      </c>
      <c r="D15" s="3" t="s">
        <v>503</v>
      </c>
      <c r="E15" s="3" t="s">
        <v>465</v>
      </c>
      <c r="F15" s="3" t="s">
        <v>504</v>
      </c>
    </row>
    <row r="16" spans="1:6" ht="22.5" customHeight="1" x14ac:dyDescent="0.35">
      <c r="A16" s="3">
        <v>15</v>
      </c>
      <c r="B16" s="3">
        <v>12</v>
      </c>
      <c r="C16" s="5" t="s">
        <v>505</v>
      </c>
      <c r="D16" s="3" t="s">
        <v>506</v>
      </c>
      <c r="E16" s="3" t="s">
        <v>465</v>
      </c>
      <c r="F16" s="3" t="s">
        <v>507</v>
      </c>
    </row>
    <row r="17" spans="1:6" ht="22.5" customHeight="1" x14ac:dyDescent="0.35">
      <c r="A17" s="3">
        <v>16</v>
      </c>
      <c r="B17" s="3">
        <v>12</v>
      </c>
      <c r="C17" s="5" t="s">
        <v>508</v>
      </c>
      <c r="D17" s="3" t="s">
        <v>509</v>
      </c>
      <c r="E17" s="3" t="s">
        <v>465</v>
      </c>
      <c r="F17" s="3" t="s">
        <v>510</v>
      </c>
    </row>
    <row r="18" spans="1:6" ht="22.5" customHeight="1" x14ac:dyDescent="0.35">
      <c r="A18" s="3">
        <v>17</v>
      </c>
      <c r="B18" s="3">
        <v>12</v>
      </c>
      <c r="C18" s="5" t="s">
        <v>511</v>
      </c>
      <c r="D18" s="3" t="s">
        <v>512</v>
      </c>
      <c r="E18" s="3" t="s">
        <v>465</v>
      </c>
      <c r="F18" s="3" t="s">
        <v>513</v>
      </c>
    </row>
    <row r="19" spans="1:6" ht="22.5" customHeight="1" x14ac:dyDescent="0.35">
      <c r="A19" s="3">
        <v>18</v>
      </c>
      <c r="B19" s="3">
        <v>12</v>
      </c>
      <c r="C19" s="5" t="s">
        <v>514</v>
      </c>
      <c r="D19" s="3" t="s">
        <v>515</v>
      </c>
      <c r="E19" s="3" t="s">
        <v>465</v>
      </c>
      <c r="F19" s="3" t="s">
        <v>516</v>
      </c>
    </row>
    <row r="20" spans="1:6" ht="22.5" customHeight="1" x14ac:dyDescent="0.35">
      <c r="A20" s="3">
        <v>19</v>
      </c>
      <c r="B20" s="3">
        <v>12</v>
      </c>
      <c r="C20" s="5" t="s">
        <v>517</v>
      </c>
      <c r="D20" s="3" t="s">
        <v>518</v>
      </c>
      <c r="E20" s="3" t="s">
        <v>480</v>
      </c>
      <c r="F20" s="3" t="s">
        <v>519</v>
      </c>
    </row>
    <row r="21" spans="1:6" ht="15.75" customHeight="1" x14ac:dyDescent="0.35">
      <c r="A21" s="3">
        <v>20</v>
      </c>
      <c r="B21" s="3">
        <v>12</v>
      </c>
      <c r="C21" s="5" t="s">
        <v>520</v>
      </c>
      <c r="D21" s="3" t="s">
        <v>521</v>
      </c>
      <c r="E21" s="3" t="s">
        <v>496</v>
      </c>
      <c r="F21" s="3" t="s">
        <v>522</v>
      </c>
    </row>
    <row r="22" spans="1:6" ht="15.75" customHeight="1" x14ac:dyDescent="0.35">
      <c r="A22" s="3">
        <v>21</v>
      </c>
      <c r="B22" s="3">
        <v>12</v>
      </c>
      <c r="C22" s="5" t="s">
        <v>523</v>
      </c>
      <c r="D22" s="3" t="s">
        <v>524</v>
      </c>
      <c r="E22" s="3" t="s">
        <v>496</v>
      </c>
      <c r="F22" s="3" t="s">
        <v>525</v>
      </c>
    </row>
    <row r="23" spans="1:6" ht="15.75" customHeight="1" x14ac:dyDescent="0.35">
      <c r="A23" s="3">
        <v>22</v>
      </c>
      <c r="B23" s="3">
        <v>12</v>
      </c>
      <c r="C23" s="5" t="s">
        <v>526</v>
      </c>
      <c r="D23" s="3" t="s">
        <v>527</v>
      </c>
      <c r="E23" s="3" t="s">
        <v>528</v>
      </c>
      <c r="F23" s="3" t="s">
        <v>529</v>
      </c>
    </row>
    <row r="24" spans="1:6" ht="15.75" customHeight="1" x14ac:dyDescent="0.35">
      <c r="A24" s="3">
        <v>23</v>
      </c>
      <c r="B24" s="3">
        <v>13</v>
      </c>
      <c r="C24" s="5" t="s">
        <v>530</v>
      </c>
      <c r="D24" s="3" t="s">
        <v>531</v>
      </c>
      <c r="E24" s="3" t="s">
        <v>465</v>
      </c>
      <c r="F24" s="3" t="s">
        <v>532</v>
      </c>
    </row>
    <row r="25" spans="1:6" ht="15.75" customHeight="1" x14ac:dyDescent="0.35">
      <c r="A25" s="3">
        <v>24</v>
      </c>
      <c r="B25" s="3">
        <v>13</v>
      </c>
      <c r="C25" s="5" t="s">
        <v>533</v>
      </c>
      <c r="D25" s="3" t="s">
        <v>534</v>
      </c>
      <c r="E25" s="3" t="s">
        <v>6</v>
      </c>
      <c r="F25" s="3" t="s">
        <v>535</v>
      </c>
    </row>
    <row r="26" spans="1:6" ht="15.75" customHeight="1" x14ac:dyDescent="0.35">
      <c r="A26" s="3">
        <v>25</v>
      </c>
      <c r="B26" s="3">
        <v>13</v>
      </c>
      <c r="C26" s="5" t="s">
        <v>536</v>
      </c>
      <c r="D26" s="3" t="s">
        <v>537</v>
      </c>
      <c r="E26" s="3" t="s">
        <v>465</v>
      </c>
      <c r="F26" s="3" t="s">
        <v>538</v>
      </c>
    </row>
    <row r="27" spans="1:6" ht="15.75" customHeight="1" x14ac:dyDescent="0.35">
      <c r="A27" s="3">
        <v>26</v>
      </c>
      <c r="B27" s="3">
        <v>13</v>
      </c>
      <c r="C27" s="5" t="s">
        <v>539</v>
      </c>
      <c r="D27" s="3" t="s">
        <v>540</v>
      </c>
      <c r="E27" s="3" t="s">
        <v>465</v>
      </c>
      <c r="F27" s="3" t="s">
        <v>541</v>
      </c>
    </row>
    <row r="28" spans="1:6" ht="15.75" customHeight="1" x14ac:dyDescent="0.35">
      <c r="A28" s="3">
        <v>27</v>
      </c>
      <c r="B28" s="3">
        <v>13</v>
      </c>
      <c r="C28" s="5" t="s">
        <v>542</v>
      </c>
      <c r="D28" s="3" t="s">
        <v>543</v>
      </c>
      <c r="E28" s="3" t="s">
        <v>465</v>
      </c>
      <c r="F28" s="3" t="s">
        <v>544</v>
      </c>
    </row>
    <row r="29" spans="1:6" ht="15.75" customHeight="1" x14ac:dyDescent="0.35">
      <c r="A29" s="3">
        <v>28</v>
      </c>
      <c r="B29" s="3">
        <v>13</v>
      </c>
      <c r="C29" s="5" t="s">
        <v>545</v>
      </c>
      <c r="D29" s="3" t="s">
        <v>546</v>
      </c>
      <c r="E29" s="3" t="s">
        <v>496</v>
      </c>
      <c r="F29" s="3" t="s">
        <v>547</v>
      </c>
    </row>
    <row r="30" spans="1:6" ht="15.75" customHeight="1" x14ac:dyDescent="0.35">
      <c r="A30" s="3">
        <v>29</v>
      </c>
      <c r="B30" s="3">
        <v>13</v>
      </c>
      <c r="C30" s="5" t="s">
        <v>548</v>
      </c>
      <c r="D30" s="3" t="s">
        <v>549</v>
      </c>
      <c r="E30" s="3" t="s">
        <v>476</v>
      </c>
      <c r="F30" s="3" t="s">
        <v>550</v>
      </c>
    </row>
    <row r="31" spans="1:6" ht="15.75" customHeight="1" x14ac:dyDescent="0.35">
      <c r="A31" s="3">
        <v>30</v>
      </c>
      <c r="B31" s="3">
        <v>13</v>
      </c>
      <c r="C31" s="5" t="s">
        <v>551</v>
      </c>
      <c r="D31" s="3" t="s">
        <v>552</v>
      </c>
      <c r="E31" s="3" t="s">
        <v>458</v>
      </c>
      <c r="F31" s="3" t="s">
        <v>553</v>
      </c>
    </row>
    <row r="32" spans="1:6" ht="15.75" customHeight="1" x14ac:dyDescent="0.35">
      <c r="A32" s="3">
        <v>31</v>
      </c>
      <c r="B32" s="3">
        <v>13</v>
      </c>
      <c r="C32" s="5" t="s">
        <v>554</v>
      </c>
      <c r="D32" s="3" t="s">
        <v>555</v>
      </c>
      <c r="E32" s="3" t="s">
        <v>556</v>
      </c>
      <c r="F32" s="3" t="s">
        <v>557</v>
      </c>
    </row>
    <row r="33" spans="1:6" ht="15.75" customHeight="1" x14ac:dyDescent="0.35">
      <c r="A33" s="3">
        <v>32</v>
      </c>
      <c r="B33" s="3">
        <v>13</v>
      </c>
      <c r="C33" s="5" t="s">
        <v>558</v>
      </c>
      <c r="D33" s="3" t="s">
        <v>559</v>
      </c>
      <c r="E33" s="3" t="s">
        <v>465</v>
      </c>
      <c r="F33" s="3" t="s">
        <v>560</v>
      </c>
    </row>
    <row r="34" spans="1:6" ht="15.75" customHeight="1" x14ac:dyDescent="0.35">
      <c r="A34" s="3">
        <v>33</v>
      </c>
      <c r="B34" s="3">
        <v>13</v>
      </c>
      <c r="C34" s="5" t="s">
        <v>561</v>
      </c>
      <c r="D34" s="3" t="s">
        <v>562</v>
      </c>
      <c r="E34" s="3" t="s">
        <v>465</v>
      </c>
      <c r="F34" s="3" t="s">
        <v>563</v>
      </c>
    </row>
    <row r="35" spans="1:6" ht="15.75" customHeight="1" x14ac:dyDescent="0.35">
      <c r="A35" s="3">
        <v>34</v>
      </c>
      <c r="B35" s="3">
        <v>15</v>
      </c>
      <c r="C35" s="5" t="s">
        <v>564</v>
      </c>
      <c r="D35" s="3" t="s">
        <v>565</v>
      </c>
      <c r="E35" s="3" t="s">
        <v>465</v>
      </c>
      <c r="F35" s="3" t="s">
        <v>566</v>
      </c>
    </row>
    <row r="36" spans="1:6" ht="15.75" customHeight="1" x14ac:dyDescent="0.35">
      <c r="A36" s="3">
        <v>35</v>
      </c>
      <c r="B36" s="3">
        <v>15</v>
      </c>
      <c r="C36" s="5" t="s">
        <v>567</v>
      </c>
      <c r="D36" s="3" t="s">
        <v>568</v>
      </c>
      <c r="E36" s="3" t="s">
        <v>480</v>
      </c>
      <c r="F36" s="3" t="s">
        <v>569</v>
      </c>
    </row>
    <row r="37" spans="1:6" ht="15.75" customHeight="1" x14ac:dyDescent="0.35">
      <c r="A37" s="3">
        <v>36</v>
      </c>
      <c r="B37" s="3">
        <v>15</v>
      </c>
      <c r="C37" s="5" t="s">
        <v>570</v>
      </c>
      <c r="D37" s="3" t="s">
        <v>571</v>
      </c>
      <c r="E37" s="3" t="s">
        <v>496</v>
      </c>
      <c r="F37" s="3" t="s">
        <v>572</v>
      </c>
    </row>
    <row r="38" spans="1:6" ht="15.75" customHeight="1" x14ac:dyDescent="0.35">
      <c r="A38" s="3">
        <v>37</v>
      </c>
      <c r="B38" s="3">
        <v>15</v>
      </c>
      <c r="C38" s="5" t="s">
        <v>573</v>
      </c>
      <c r="D38" s="3" t="s">
        <v>574</v>
      </c>
      <c r="E38" s="3" t="s">
        <v>458</v>
      </c>
      <c r="F38" s="3" t="s">
        <v>575</v>
      </c>
    </row>
    <row r="39" spans="1:6" ht="15.75" customHeight="1" x14ac:dyDescent="0.35">
      <c r="A39" s="3">
        <v>38</v>
      </c>
      <c r="B39" s="3">
        <v>15</v>
      </c>
      <c r="C39" s="5" t="s">
        <v>576</v>
      </c>
      <c r="D39" s="3" t="s">
        <v>577</v>
      </c>
      <c r="E39" s="3" t="s">
        <v>578</v>
      </c>
      <c r="F39" s="3" t="s">
        <v>579</v>
      </c>
    </row>
    <row r="40" spans="1:6" ht="15.75" customHeight="1" x14ac:dyDescent="0.35">
      <c r="A40" s="3">
        <v>39</v>
      </c>
      <c r="B40" s="3">
        <v>15</v>
      </c>
      <c r="C40" s="5" t="s">
        <v>580</v>
      </c>
      <c r="D40" s="3" t="s">
        <v>581</v>
      </c>
      <c r="E40" s="3" t="s">
        <v>480</v>
      </c>
      <c r="F40" s="3" t="s">
        <v>582</v>
      </c>
    </row>
    <row r="41" spans="1:6" ht="15.75" customHeight="1" x14ac:dyDescent="0.35">
      <c r="A41" s="3">
        <v>40</v>
      </c>
      <c r="B41" s="3">
        <v>15</v>
      </c>
      <c r="C41" s="5" t="s">
        <v>583</v>
      </c>
      <c r="D41" s="3" t="s">
        <v>584</v>
      </c>
      <c r="E41" s="3" t="s">
        <v>496</v>
      </c>
      <c r="F41" s="3" t="s">
        <v>585</v>
      </c>
    </row>
    <row r="42" spans="1:6" ht="15.75" customHeight="1" x14ac:dyDescent="0.35">
      <c r="A42" s="3">
        <v>41</v>
      </c>
      <c r="B42" s="3">
        <v>15</v>
      </c>
      <c r="C42" s="5" t="s">
        <v>586</v>
      </c>
      <c r="D42" s="3" t="s">
        <v>587</v>
      </c>
      <c r="E42" s="3" t="s">
        <v>465</v>
      </c>
      <c r="F42" s="3" t="s">
        <v>588</v>
      </c>
    </row>
    <row r="43" spans="1:6" ht="15.75" customHeight="1" x14ac:dyDescent="0.35">
      <c r="A43" s="3">
        <v>42</v>
      </c>
      <c r="B43" s="3">
        <v>15</v>
      </c>
      <c r="C43" s="5" t="s">
        <v>589</v>
      </c>
      <c r="D43" s="3" t="s">
        <v>590</v>
      </c>
      <c r="E43" s="3" t="s">
        <v>458</v>
      </c>
      <c r="F43" s="3" t="s">
        <v>591</v>
      </c>
    </row>
    <row r="44" spans="1:6" ht="15.75" customHeight="1" x14ac:dyDescent="0.35">
      <c r="A44" s="3">
        <v>43</v>
      </c>
      <c r="B44" s="3">
        <v>15</v>
      </c>
      <c r="C44" s="5" t="s">
        <v>592</v>
      </c>
      <c r="D44" s="3" t="s">
        <v>593</v>
      </c>
      <c r="E44" s="3" t="s">
        <v>465</v>
      </c>
      <c r="F44" s="3" t="s">
        <v>594</v>
      </c>
    </row>
    <row r="45" spans="1:6" ht="15.75" customHeight="1" x14ac:dyDescent="0.35">
      <c r="A45" s="3">
        <v>44</v>
      </c>
      <c r="B45" s="3">
        <v>15</v>
      </c>
      <c r="C45" s="5" t="s">
        <v>595</v>
      </c>
      <c r="D45" s="3" t="s">
        <v>596</v>
      </c>
      <c r="E45" s="3" t="s">
        <v>458</v>
      </c>
      <c r="F45" s="3" t="s">
        <v>597</v>
      </c>
    </row>
    <row r="46" spans="1:6" ht="15.75" customHeight="1" x14ac:dyDescent="0.35">
      <c r="A46" s="3">
        <v>45</v>
      </c>
      <c r="B46" s="3">
        <v>16</v>
      </c>
      <c r="C46" s="5" t="s">
        <v>598</v>
      </c>
      <c r="D46" s="3" t="s">
        <v>599</v>
      </c>
      <c r="E46" s="3" t="s">
        <v>465</v>
      </c>
      <c r="F46" s="3" t="s">
        <v>600</v>
      </c>
    </row>
    <row r="47" spans="1:6" ht="15.75" customHeight="1" x14ac:dyDescent="0.35">
      <c r="A47" s="3">
        <v>46</v>
      </c>
      <c r="B47" s="3">
        <v>16</v>
      </c>
      <c r="C47" s="5" t="s">
        <v>601</v>
      </c>
      <c r="D47" s="3" t="s">
        <v>602</v>
      </c>
      <c r="E47" s="3" t="s">
        <v>6</v>
      </c>
      <c r="F47" s="3" t="s">
        <v>603</v>
      </c>
    </row>
    <row r="48" spans="1:6" ht="15.75" customHeight="1" x14ac:dyDescent="0.35">
      <c r="A48" s="3">
        <v>47</v>
      </c>
      <c r="B48" s="3">
        <v>16</v>
      </c>
      <c r="C48" s="5" t="s">
        <v>604</v>
      </c>
      <c r="D48" s="3" t="s">
        <v>605</v>
      </c>
      <c r="E48" s="3" t="s">
        <v>458</v>
      </c>
      <c r="F48" s="3" t="s">
        <v>606</v>
      </c>
    </row>
    <row r="49" spans="1:6" ht="15.75" customHeight="1" x14ac:dyDescent="0.35">
      <c r="A49" s="3">
        <v>48</v>
      </c>
      <c r="B49" s="3">
        <v>16</v>
      </c>
      <c r="C49" s="5" t="s">
        <v>607</v>
      </c>
      <c r="D49" s="3" t="s">
        <v>608</v>
      </c>
      <c r="E49" s="3" t="s">
        <v>458</v>
      </c>
      <c r="F49" s="3" t="s">
        <v>609</v>
      </c>
    </row>
    <row r="50" spans="1:6" ht="15.75" customHeight="1" x14ac:dyDescent="0.35">
      <c r="A50" s="3">
        <v>49</v>
      </c>
      <c r="B50" s="3">
        <v>16</v>
      </c>
      <c r="C50" s="5" t="s">
        <v>610</v>
      </c>
      <c r="D50" s="3" t="s">
        <v>611</v>
      </c>
      <c r="E50" s="3" t="s">
        <v>458</v>
      </c>
      <c r="F50" s="3" t="s">
        <v>612</v>
      </c>
    </row>
    <row r="51" spans="1:6" ht="15.75" customHeight="1" x14ac:dyDescent="0.35">
      <c r="A51" s="3">
        <v>50</v>
      </c>
      <c r="B51" s="3">
        <v>16</v>
      </c>
      <c r="C51" s="5" t="s">
        <v>613</v>
      </c>
      <c r="D51" s="3" t="s">
        <v>614</v>
      </c>
      <c r="E51" s="3" t="s">
        <v>476</v>
      </c>
      <c r="F51" s="3" t="s">
        <v>615</v>
      </c>
    </row>
    <row r="52" spans="1:6" ht="15.75" customHeight="1" x14ac:dyDescent="0.35">
      <c r="A52" s="3">
        <v>51</v>
      </c>
      <c r="B52" s="3">
        <v>16</v>
      </c>
      <c r="C52" s="5" t="s">
        <v>616</v>
      </c>
      <c r="D52" s="3" t="s">
        <v>617</v>
      </c>
      <c r="E52" s="3" t="s">
        <v>458</v>
      </c>
      <c r="F52" s="3" t="s">
        <v>618</v>
      </c>
    </row>
    <row r="53" spans="1:6" ht="15.75" customHeight="1" x14ac:dyDescent="0.35">
      <c r="A53" s="3">
        <v>52</v>
      </c>
      <c r="B53" s="3">
        <v>16</v>
      </c>
      <c r="C53" s="5" t="s">
        <v>619</v>
      </c>
      <c r="D53" s="3" t="s">
        <v>620</v>
      </c>
      <c r="E53" s="3" t="s">
        <v>465</v>
      </c>
      <c r="F53" s="3" t="s">
        <v>621</v>
      </c>
    </row>
    <row r="54" spans="1:6" ht="15.75" customHeight="1" x14ac:dyDescent="0.35">
      <c r="A54" s="3">
        <v>53</v>
      </c>
      <c r="B54" s="3">
        <v>16</v>
      </c>
      <c r="C54" s="5" t="s">
        <v>622</v>
      </c>
      <c r="D54" s="3" t="s">
        <v>623</v>
      </c>
      <c r="E54" s="3" t="s">
        <v>500</v>
      </c>
      <c r="F54" s="3" t="s">
        <v>624</v>
      </c>
    </row>
    <row r="55" spans="1:6" ht="15.75" customHeight="1" x14ac:dyDescent="0.35">
      <c r="A55" s="3">
        <v>54</v>
      </c>
      <c r="B55" s="3">
        <v>16</v>
      </c>
      <c r="C55" s="5" t="s">
        <v>625</v>
      </c>
      <c r="D55" s="3" t="s">
        <v>626</v>
      </c>
      <c r="E55" s="3" t="s">
        <v>496</v>
      </c>
      <c r="F55" s="3" t="s">
        <v>627</v>
      </c>
    </row>
    <row r="56" spans="1:6" ht="15.75" customHeight="1" x14ac:dyDescent="0.35">
      <c r="A56" s="3">
        <v>55</v>
      </c>
      <c r="B56" s="3">
        <v>16</v>
      </c>
      <c r="C56" s="5" t="s">
        <v>628</v>
      </c>
      <c r="D56" s="3" t="s">
        <v>629</v>
      </c>
      <c r="E56" s="3" t="s">
        <v>465</v>
      </c>
      <c r="F56" s="3" t="s">
        <v>630</v>
      </c>
    </row>
    <row r="57" spans="1:6" ht="15.75" customHeight="1" x14ac:dyDescent="0.35">
      <c r="A57" s="3">
        <v>56</v>
      </c>
      <c r="B57" s="3">
        <v>17</v>
      </c>
      <c r="C57" s="5" t="s">
        <v>631</v>
      </c>
      <c r="D57" s="3" t="s">
        <v>632</v>
      </c>
      <c r="E57" s="3" t="s">
        <v>6</v>
      </c>
      <c r="F57" s="3" t="s">
        <v>633</v>
      </c>
    </row>
    <row r="58" spans="1:6" ht="15.75" customHeight="1" x14ac:dyDescent="0.35">
      <c r="A58" s="3">
        <v>57</v>
      </c>
      <c r="B58" s="3">
        <v>17</v>
      </c>
      <c r="C58" s="5" t="s">
        <v>634</v>
      </c>
      <c r="D58" s="3" t="s">
        <v>635</v>
      </c>
      <c r="E58" s="3" t="s">
        <v>6</v>
      </c>
      <c r="F58" s="3" t="s">
        <v>636</v>
      </c>
    </row>
    <row r="59" spans="1:6" ht="15.75" customHeight="1" x14ac:dyDescent="0.35">
      <c r="A59" s="3">
        <v>58</v>
      </c>
      <c r="B59" s="3">
        <v>17</v>
      </c>
      <c r="C59" s="5" t="s">
        <v>637</v>
      </c>
      <c r="D59" s="3" t="s">
        <v>638</v>
      </c>
      <c r="E59" s="3" t="s">
        <v>465</v>
      </c>
      <c r="F59" s="3" t="s">
        <v>639</v>
      </c>
    </row>
    <row r="60" spans="1:6" ht="15.75" customHeight="1" x14ac:dyDescent="0.35">
      <c r="A60" s="3">
        <v>59</v>
      </c>
      <c r="B60" s="3">
        <v>17</v>
      </c>
      <c r="C60" s="5" t="s">
        <v>640</v>
      </c>
      <c r="D60" s="3" t="s">
        <v>641</v>
      </c>
      <c r="E60" s="3" t="s">
        <v>500</v>
      </c>
      <c r="F60" s="3" t="s">
        <v>642</v>
      </c>
    </row>
    <row r="61" spans="1:6" ht="15.75" customHeight="1" x14ac:dyDescent="0.35">
      <c r="A61" s="3">
        <v>60</v>
      </c>
      <c r="B61" s="3">
        <v>17</v>
      </c>
      <c r="C61" s="5" t="s">
        <v>643</v>
      </c>
      <c r="D61" s="3" t="s">
        <v>644</v>
      </c>
      <c r="E61" s="3" t="s">
        <v>458</v>
      </c>
      <c r="F61" s="3" t="s">
        <v>645</v>
      </c>
    </row>
    <row r="62" spans="1:6" ht="15.75" customHeight="1" x14ac:dyDescent="0.35">
      <c r="A62" s="3">
        <v>61</v>
      </c>
      <c r="B62" s="3">
        <v>17</v>
      </c>
      <c r="C62" s="5" t="s">
        <v>646</v>
      </c>
      <c r="D62" s="3" t="s">
        <v>647</v>
      </c>
      <c r="E62" s="3" t="s">
        <v>458</v>
      </c>
      <c r="F62" s="3" t="s">
        <v>648</v>
      </c>
    </row>
    <row r="63" spans="1:6" ht="15.75" customHeight="1" x14ac:dyDescent="0.35">
      <c r="A63" s="3">
        <v>62</v>
      </c>
      <c r="B63" s="3">
        <v>17</v>
      </c>
      <c r="C63" s="5" t="s">
        <v>649</v>
      </c>
      <c r="D63" s="3" t="s">
        <v>650</v>
      </c>
      <c r="E63" s="3" t="s">
        <v>480</v>
      </c>
      <c r="F63" s="3" t="s">
        <v>651</v>
      </c>
    </row>
    <row r="64" spans="1:6" ht="15.75" customHeight="1" x14ac:dyDescent="0.35">
      <c r="A64" s="3">
        <v>63</v>
      </c>
      <c r="B64" s="3">
        <v>17</v>
      </c>
      <c r="C64" s="5" t="s">
        <v>652</v>
      </c>
      <c r="D64" s="3" t="s">
        <v>653</v>
      </c>
      <c r="E64" s="3" t="s">
        <v>654</v>
      </c>
      <c r="F64" s="3" t="s">
        <v>655</v>
      </c>
    </row>
    <row r="65" spans="1:6" ht="15.75" customHeight="1" x14ac:dyDescent="0.35">
      <c r="A65" s="3">
        <v>64</v>
      </c>
      <c r="B65" s="3">
        <v>17</v>
      </c>
      <c r="C65" s="5" t="s">
        <v>656</v>
      </c>
      <c r="D65" s="3" t="s">
        <v>657</v>
      </c>
      <c r="E65" s="3" t="s">
        <v>465</v>
      </c>
      <c r="F65" s="3" t="s">
        <v>658</v>
      </c>
    </row>
    <row r="66" spans="1:6" ht="15.75" customHeight="1" x14ac:dyDescent="0.35">
      <c r="A66" s="3">
        <v>65</v>
      </c>
      <c r="B66" s="3">
        <v>17</v>
      </c>
      <c r="C66" s="5" t="s">
        <v>659</v>
      </c>
      <c r="D66" s="3" t="s">
        <v>660</v>
      </c>
      <c r="E66" s="3" t="s">
        <v>465</v>
      </c>
      <c r="F66" s="3" t="s">
        <v>661</v>
      </c>
    </row>
    <row r="67" spans="1:6" ht="15.75" customHeight="1" x14ac:dyDescent="0.35">
      <c r="A67" s="3">
        <v>66</v>
      </c>
      <c r="B67" s="3">
        <v>17</v>
      </c>
      <c r="C67" s="5" t="s">
        <v>662</v>
      </c>
      <c r="D67" s="3" t="s">
        <v>663</v>
      </c>
      <c r="E67" s="3" t="s">
        <v>465</v>
      </c>
      <c r="F67" s="3" t="s">
        <v>664</v>
      </c>
    </row>
    <row r="68" spans="1:6" ht="15.75" customHeight="1" x14ac:dyDescent="0.35">
      <c r="A68" s="3">
        <v>67</v>
      </c>
      <c r="B68" s="3">
        <v>18</v>
      </c>
      <c r="C68" s="5" t="s">
        <v>665</v>
      </c>
      <c r="D68" s="3" t="s">
        <v>666</v>
      </c>
      <c r="E68" s="3" t="s">
        <v>528</v>
      </c>
      <c r="F68" s="3" t="s">
        <v>667</v>
      </c>
    </row>
    <row r="69" spans="1:6" ht="15.75" customHeight="1" x14ac:dyDescent="0.35">
      <c r="A69" s="3">
        <v>68</v>
      </c>
      <c r="B69" s="3">
        <v>18</v>
      </c>
      <c r="C69" s="5" t="s">
        <v>668</v>
      </c>
      <c r="D69" s="3" t="s">
        <v>669</v>
      </c>
      <c r="E69" s="3" t="s">
        <v>528</v>
      </c>
      <c r="F69" s="3" t="s">
        <v>670</v>
      </c>
    </row>
    <row r="70" spans="1:6" ht="15.75" customHeight="1" x14ac:dyDescent="0.35">
      <c r="A70" s="3">
        <v>69</v>
      </c>
      <c r="B70" s="3">
        <v>18</v>
      </c>
      <c r="C70" s="5" t="s">
        <v>671</v>
      </c>
      <c r="D70" s="3" t="s">
        <v>672</v>
      </c>
      <c r="E70" s="3" t="s">
        <v>500</v>
      </c>
      <c r="F70" s="3" t="s">
        <v>642</v>
      </c>
    </row>
    <row r="71" spans="1:6" ht="15.75" customHeight="1" x14ac:dyDescent="0.35">
      <c r="A71" s="3">
        <v>70</v>
      </c>
      <c r="B71" s="3">
        <v>18</v>
      </c>
      <c r="C71" s="5" t="s">
        <v>673</v>
      </c>
      <c r="D71" s="3" t="s">
        <v>674</v>
      </c>
      <c r="E71" s="3" t="s">
        <v>458</v>
      </c>
      <c r="F71" s="3" t="s">
        <v>675</v>
      </c>
    </row>
    <row r="72" spans="1:6" ht="15.75" customHeight="1" x14ac:dyDescent="0.35">
      <c r="A72" s="3">
        <v>71</v>
      </c>
      <c r="B72" s="3">
        <v>18</v>
      </c>
      <c r="C72" s="5" t="s">
        <v>676</v>
      </c>
      <c r="D72" s="3" t="s">
        <v>677</v>
      </c>
      <c r="E72" s="3" t="s">
        <v>528</v>
      </c>
      <c r="F72" s="3" t="s">
        <v>678</v>
      </c>
    </row>
    <row r="73" spans="1:6" ht="15.75" customHeight="1" x14ac:dyDescent="0.35">
      <c r="A73" s="3">
        <v>72</v>
      </c>
      <c r="B73" s="3">
        <v>18</v>
      </c>
      <c r="C73" s="5" t="s">
        <v>679</v>
      </c>
      <c r="D73" s="3" t="s">
        <v>680</v>
      </c>
      <c r="E73" s="3" t="s">
        <v>465</v>
      </c>
      <c r="F73" s="3" t="s">
        <v>681</v>
      </c>
    </row>
    <row r="74" spans="1:6" ht="15.75" customHeight="1" x14ac:dyDescent="0.35">
      <c r="A74" s="3">
        <v>73</v>
      </c>
      <c r="B74" s="3">
        <v>18</v>
      </c>
      <c r="C74" s="5" t="s">
        <v>682</v>
      </c>
      <c r="D74" s="3" t="s">
        <v>683</v>
      </c>
      <c r="E74" s="3" t="s">
        <v>465</v>
      </c>
      <c r="F74" s="3" t="s">
        <v>684</v>
      </c>
    </row>
    <row r="75" spans="1:6" ht="15.75" customHeight="1" x14ac:dyDescent="0.35">
      <c r="A75" s="3">
        <v>74</v>
      </c>
      <c r="B75" s="3">
        <v>18</v>
      </c>
      <c r="C75" s="5" t="s">
        <v>685</v>
      </c>
      <c r="D75" s="3" t="s">
        <v>686</v>
      </c>
      <c r="E75" s="3" t="s">
        <v>465</v>
      </c>
      <c r="F75" s="3" t="s">
        <v>687</v>
      </c>
    </row>
    <row r="76" spans="1:6" ht="15.75" customHeight="1" x14ac:dyDescent="0.35">
      <c r="A76" s="3">
        <v>75</v>
      </c>
      <c r="B76" s="3">
        <v>18</v>
      </c>
      <c r="C76" s="5" t="s">
        <v>688</v>
      </c>
      <c r="D76" s="3" t="s">
        <v>689</v>
      </c>
      <c r="E76" s="3" t="s">
        <v>496</v>
      </c>
      <c r="F76" s="3" t="s">
        <v>690</v>
      </c>
    </row>
    <row r="77" spans="1:6" ht="15.75" customHeight="1" x14ac:dyDescent="0.35">
      <c r="A77" s="3">
        <v>76</v>
      </c>
      <c r="B77" s="3">
        <v>18</v>
      </c>
      <c r="C77" s="5" t="s">
        <v>691</v>
      </c>
      <c r="D77" s="3" t="s">
        <v>692</v>
      </c>
      <c r="E77" s="3" t="s">
        <v>465</v>
      </c>
      <c r="F77" s="3" t="s">
        <v>693</v>
      </c>
    </row>
    <row r="78" spans="1:6" ht="15.75" customHeight="1" x14ac:dyDescent="0.35">
      <c r="A78" s="3">
        <v>77</v>
      </c>
      <c r="B78" s="3">
        <v>18</v>
      </c>
      <c r="C78" s="5" t="s">
        <v>694</v>
      </c>
      <c r="D78" s="3" t="s">
        <v>695</v>
      </c>
      <c r="E78" s="3" t="s">
        <v>6</v>
      </c>
      <c r="F78" s="3" t="s">
        <v>696</v>
      </c>
    </row>
    <row r="79" spans="1:6" ht="15.75" customHeight="1" x14ac:dyDescent="0.35">
      <c r="A79" s="3">
        <v>78</v>
      </c>
      <c r="B79" s="3">
        <v>19</v>
      </c>
      <c r="C79" s="5" t="s">
        <v>697</v>
      </c>
      <c r="D79" s="3" t="s">
        <v>698</v>
      </c>
      <c r="E79" s="3" t="s">
        <v>465</v>
      </c>
      <c r="F79" s="3" t="s">
        <v>699</v>
      </c>
    </row>
    <row r="80" spans="1:6" ht="15.75" customHeight="1" x14ac:dyDescent="0.35">
      <c r="A80" s="3">
        <v>79</v>
      </c>
      <c r="B80" s="3">
        <v>19</v>
      </c>
      <c r="C80" s="5" t="s">
        <v>700</v>
      </c>
      <c r="D80" s="3" t="s">
        <v>698</v>
      </c>
      <c r="E80" s="3" t="s">
        <v>465</v>
      </c>
      <c r="F80" s="3" t="s">
        <v>701</v>
      </c>
    </row>
    <row r="81" spans="1:6" ht="15.75" customHeight="1" x14ac:dyDescent="0.35">
      <c r="A81" s="3">
        <v>80</v>
      </c>
      <c r="B81" s="3">
        <v>19</v>
      </c>
      <c r="C81" s="5" t="s">
        <v>702</v>
      </c>
      <c r="D81" s="3" t="s">
        <v>703</v>
      </c>
      <c r="E81" s="3" t="s">
        <v>458</v>
      </c>
      <c r="F81" s="3" t="s">
        <v>704</v>
      </c>
    </row>
    <row r="82" spans="1:6" ht="15.75" customHeight="1" x14ac:dyDescent="0.35">
      <c r="A82" s="3">
        <v>81</v>
      </c>
      <c r="B82" s="3">
        <v>19</v>
      </c>
      <c r="C82" s="5" t="s">
        <v>705</v>
      </c>
      <c r="D82" s="3" t="s">
        <v>706</v>
      </c>
      <c r="E82" s="3" t="s">
        <v>458</v>
      </c>
      <c r="F82" s="3" t="s">
        <v>707</v>
      </c>
    </row>
    <row r="83" spans="1:6" ht="15.75" customHeight="1" x14ac:dyDescent="0.35">
      <c r="A83" s="3">
        <v>82</v>
      </c>
      <c r="B83" s="3">
        <v>19</v>
      </c>
      <c r="C83" s="5" t="s">
        <v>708</v>
      </c>
      <c r="D83" s="3" t="s">
        <v>709</v>
      </c>
      <c r="E83" s="3" t="s">
        <v>496</v>
      </c>
      <c r="F83" s="3" t="s">
        <v>710</v>
      </c>
    </row>
    <row r="84" spans="1:6" ht="15.75" customHeight="1" x14ac:dyDescent="0.35">
      <c r="A84" s="3">
        <v>83</v>
      </c>
      <c r="B84" s="3">
        <v>19</v>
      </c>
      <c r="C84" s="5" t="s">
        <v>711</v>
      </c>
      <c r="D84" s="3" t="s">
        <v>712</v>
      </c>
      <c r="E84" s="3" t="s">
        <v>465</v>
      </c>
      <c r="F84" s="3" t="s">
        <v>713</v>
      </c>
    </row>
    <row r="85" spans="1:6" ht="15.75" customHeight="1" x14ac:dyDescent="0.35">
      <c r="A85" s="3">
        <v>84</v>
      </c>
      <c r="B85" s="3">
        <v>19</v>
      </c>
      <c r="C85" s="5" t="s">
        <v>714</v>
      </c>
      <c r="D85" s="3" t="s">
        <v>715</v>
      </c>
      <c r="E85" s="3" t="s">
        <v>458</v>
      </c>
      <c r="F85" s="3" t="s">
        <v>716</v>
      </c>
    </row>
    <row r="86" spans="1:6" ht="15.75" customHeight="1" x14ac:dyDescent="0.35">
      <c r="A86" s="3">
        <v>85</v>
      </c>
      <c r="B86" s="3">
        <v>19</v>
      </c>
      <c r="C86" s="5" t="s">
        <v>717</v>
      </c>
      <c r="D86" s="3" t="s">
        <v>718</v>
      </c>
      <c r="E86" s="3" t="s">
        <v>6</v>
      </c>
      <c r="F86" s="3" t="s">
        <v>719</v>
      </c>
    </row>
    <row r="87" spans="1:6" ht="15.75" customHeight="1" x14ac:dyDescent="0.35">
      <c r="A87" s="3">
        <v>86</v>
      </c>
      <c r="B87" s="3">
        <v>19</v>
      </c>
      <c r="C87" s="5" t="s">
        <v>720</v>
      </c>
      <c r="D87" s="3" t="s">
        <v>721</v>
      </c>
      <c r="E87" s="3" t="s">
        <v>465</v>
      </c>
      <c r="F87" s="3" t="s">
        <v>722</v>
      </c>
    </row>
    <row r="88" spans="1:6" ht="15.75" customHeight="1" x14ac:dyDescent="0.35">
      <c r="A88" s="3">
        <v>87</v>
      </c>
      <c r="B88" s="3">
        <v>19</v>
      </c>
      <c r="C88" s="5" t="s">
        <v>723</v>
      </c>
      <c r="D88" s="3" t="s">
        <v>724</v>
      </c>
      <c r="E88" s="3" t="s">
        <v>465</v>
      </c>
      <c r="F88" s="3" t="s">
        <v>725</v>
      </c>
    </row>
    <row r="89" spans="1:6" ht="15.75" customHeight="1" x14ac:dyDescent="0.35">
      <c r="A89" s="3">
        <v>88</v>
      </c>
      <c r="B89" s="3">
        <v>19</v>
      </c>
      <c r="C89" s="5" t="s">
        <v>726</v>
      </c>
      <c r="D89" s="3" t="s">
        <v>727</v>
      </c>
      <c r="E89" s="3" t="s">
        <v>496</v>
      </c>
      <c r="F89" s="3" t="s">
        <v>728</v>
      </c>
    </row>
    <row r="90" spans="1:6" ht="15.75" customHeight="1" x14ac:dyDescent="0.35">
      <c r="A90" s="3">
        <v>89</v>
      </c>
      <c r="B90" s="3">
        <v>20</v>
      </c>
      <c r="C90" s="5" t="s">
        <v>729</v>
      </c>
      <c r="D90" s="3" t="s">
        <v>730</v>
      </c>
      <c r="E90" s="3" t="s">
        <v>528</v>
      </c>
      <c r="F90" s="3" t="s">
        <v>731</v>
      </c>
    </row>
    <row r="91" spans="1:6" ht="15.75" customHeight="1" x14ac:dyDescent="0.35">
      <c r="A91" s="3">
        <v>90</v>
      </c>
      <c r="B91" s="3">
        <v>20</v>
      </c>
      <c r="C91" s="5" t="s">
        <v>732</v>
      </c>
      <c r="D91" s="3" t="s">
        <v>733</v>
      </c>
      <c r="E91" s="3" t="s">
        <v>528</v>
      </c>
      <c r="F91" s="3" t="s">
        <v>734</v>
      </c>
    </row>
    <row r="92" spans="1:6" ht="15.75" customHeight="1" x14ac:dyDescent="0.35">
      <c r="A92" s="3">
        <v>91</v>
      </c>
      <c r="B92" s="3">
        <v>20</v>
      </c>
      <c r="C92" s="5" t="s">
        <v>735</v>
      </c>
      <c r="D92" s="3" t="s">
        <v>736</v>
      </c>
      <c r="E92" s="3" t="s">
        <v>6</v>
      </c>
      <c r="F92" s="3" t="s">
        <v>737</v>
      </c>
    </row>
    <row r="93" spans="1:6" ht="15.75" customHeight="1" x14ac:dyDescent="0.35">
      <c r="A93" s="3">
        <v>92</v>
      </c>
      <c r="B93" s="3">
        <v>20</v>
      </c>
      <c r="C93" s="5" t="s">
        <v>738</v>
      </c>
      <c r="D93" s="3" t="s">
        <v>739</v>
      </c>
      <c r="E93" s="3" t="s">
        <v>465</v>
      </c>
      <c r="F93" s="3" t="s">
        <v>740</v>
      </c>
    </row>
    <row r="94" spans="1:6" ht="15.75" customHeight="1" x14ac:dyDescent="0.35">
      <c r="A94" s="3">
        <v>93</v>
      </c>
      <c r="B94" s="3">
        <v>20</v>
      </c>
      <c r="C94" s="5" t="s">
        <v>741</v>
      </c>
      <c r="D94" s="3" t="s">
        <v>742</v>
      </c>
      <c r="E94" s="3" t="s">
        <v>458</v>
      </c>
      <c r="F94" s="3" t="s">
        <v>743</v>
      </c>
    </row>
    <row r="95" spans="1:6" ht="15.75" customHeight="1" x14ac:dyDescent="0.35">
      <c r="A95" s="3">
        <v>94</v>
      </c>
      <c r="B95" s="3">
        <v>20</v>
      </c>
      <c r="C95" s="5" t="s">
        <v>744</v>
      </c>
      <c r="D95" s="3" t="s">
        <v>745</v>
      </c>
      <c r="E95" s="3" t="s">
        <v>465</v>
      </c>
      <c r="F95" s="3" t="s">
        <v>746</v>
      </c>
    </row>
    <row r="96" spans="1:6" ht="15.75" customHeight="1" x14ac:dyDescent="0.35">
      <c r="A96" s="3">
        <v>95</v>
      </c>
      <c r="B96" s="3">
        <v>20</v>
      </c>
      <c r="C96" s="5" t="s">
        <v>747</v>
      </c>
      <c r="D96" s="3" t="s">
        <v>748</v>
      </c>
      <c r="E96" s="3" t="s">
        <v>465</v>
      </c>
      <c r="F96" s="3" t="s">
        <v>749</v>
      </c>
    </row>
    <row r="97" spans="1:6" ht="15.75" customHeight="1" x14ac:dyDescent="0.35">
      <c r="A97" s="3">
        <v>96</v>
      </c>
      <c r="B97" s="3">
        <v>20</v>
      </c>
      <c r="C97" s="5" t="s">
        <v>750</v>
      </c>
      <c r="D97" s="3" t="s">
        <v>751</v>
      </c>
      <c r="E97" s="3" t="s">
        <v>465</v>
      </c>
      <c r="F97" s="3" t="s">
        <v>752</v>
      </c>
    </row>
    <row r="98" spans="1:6" ht="15.75" customHeight="1" x14ac:dyDescent="0.35">
      <c r="A98" s="3">
        <v>97</v>
      </c>
      <c r="B98" s="3">
        <v>20</v>
      </c>
      <c r="C98" s="5" t="s">
        <v>753</v>
      </c>
      <c r="D98" s="3" t="s">
        <v>754</v>
      </c>
      <c r="E98" s="3" t="s">
        <v>458</v>
      </c>
      <c r="F98" s="3" t="s">
        <v>755</v>
      </c>
    </row>
    <row r="99" spans="1:6" ht="15.75" customHeight="1" x14ac:dyDescent="0.35">
      <c r="A99" s="3">
        <v>98</v>
      </c>
      <c r="B99" s="3">
        <v>20</v>
      </c>
      <c r="C99" s="5" t="s">
        <v>756</v>
      </c>
      <c r="D99" s="3" t="s">
        <v>757</v>
      </c>
      <c r="E99" s="3" t="s">
        <v>458</v>
      </c>
      <c r="F99" s="3" t="s">
        <v>758</v>
      </c>
    </row>
    <row r="100" spans="1:6" ht="15.75" customHeight="1" x14ac:dyDescent="0.35">
      <c r="A100" s="3">
        <v>99</v>
      </c>
      <c r="B100" s="3">
        <v>20</v>
      </c>
      <c r="C100" s="5" t="s">
        <v>759</v>
      </c>
      <c r="D100" s="3" t="s">
        <v>760</v>
      </c>
      <c r="E100" s="3" t="s">
        <v>6</v>
      </c>
      <c r="F100" s="3" t="s">
        <v>761</v>
      </c>
    </row>
    <row r="101" spans="1:6" ht="15.75" customHeight="1" x14ac:dyDescent="0.35">
      <c r="A101" s="3">
        <v>100</v>
      </c>
      <c r="B101" s="3">
        <v>22</v>
      </c>
      <c r="C101" s="5" t="s">
        <v>762</v>
      </c>
      <c r="D101" s="3" t="s">
        <v>763</v>
      </c>
      <c r="E101" s="3" t="s">
        <v>476</v>
      </c>
      <c r="F101" s="3" t="s">
        <v>764</v>
      </c>
    </row>
    <row r="102" spans="1:6" ht="15.75" customHeight="1" x14ac:dyDescent="0.35">
      <c r="A102" s="3">
        <v>101</v>
      </c>
      <c r="B102" s="3">
        <v>22</v>
      </c>
      <c r="C102" s="5" t="s">
        <v>765</v>
      </c>
      <c r="D102" s="3" t="s">
        <v>766</v>
      </c>
      <c r="E102" s="3" t="s">
        <v>528</v>
      </c>
      <c r="F102" s="3" t="s">
        <v>767</v>
      </c>
    </row>
    <row r="103" spans="1:6" ht="15.75" customHeight="1" x14ac:dyDescent="0.35">
      <c r="A103" s="3">
        <v>102</v>
      </c>
      <c r="B103" s="3">
        <v>22</v>
      </c>
      <c r="C103" s="5" t="s">
        <v>768</v>
      </c>
      <c r="D103" s="3" t="s">
        <v>766</v>
      </c>
      <c r="E103" s="3" t="s">
        <v>528</v>
      </c>
      <c r="F103" s="3" t="s">
        <v>769</v>
      </c>
    </row>
    <row r="104" spans="1:6" ht="15.75" customHeight="1" x14ac:dyDescent="0.35">
      <c r="A104" s="3">
        <v>103</v>
      </c>
      <c r="B104" s="3">
        <v>22</v>
      </c>
      <c r="C104" s="5" t="s">
        <v>770</v>
      </c>
      <c r="D104" s="3" t="s">
        <v>771</v>
      </c>
      <c r="E104" s="3" t="s">
        <v>480</v>
      </c>
      <c r="F104" s="3" t="s">
        <v>772</v>
      </c>
    </row>
    <row r="105" spans="1:6" ht="15.75" customHeight="1" x14ac:dyDescent="0.35">
      <c r="A105" s="3">
        <v>104</v>
      </c>
      <c r="B105" s="3">
        <v>22</v>
      </c>
      <c r="C105" s="5" t="s">
        <v>773</v>
      </c>
      <c r="D105" s="3" t="s">
        <v>774</v>
      </c>
      <c r="E105" s="3" t="s">
        <v>465</v>
      </c>
      <c r="F105" s="3" t="s">
        <v>775</v>
      </c>
    </row>
    <row r="106" spans="1:6" ht="15.75" customHeight="1" x14ac:dyDescent="0.35">
      <c r="A106" s="3">
        <v>105</v>
      </c>
      <c r="B106" s="3">
        <v>22</v>
      </c>
      <c r="C106" s="5" t="s">
        <v>776</v>
      </c>
      <c r="D106" s="3" t="s">
        <v>777</v>
      </c>
      <c r="E106" s="3" t="s">
        <v>458</v>
      </c>
      <c r="F106" s="3" t="s">
        <v>778</v>
      </c>
    </row>
    <row r="107" spans="1:6" ht="15.75" customHeight="1" x14ac:dyDescent="0.35">
      <c r="A107" s="3">
        <v>106</v>
      </c>
      <c r="B107" s="3">
        <v>22</v>
      </c>
      <c r="C107" s="5" t="s">
        <v>779</v>
      </c>
      <c r="D107" s="3" t="s">
        <v>780</v>
      </c>
      <c r="E107" s="3" t="s">
        <v>465</v>
      </c>
      <c r="F107" s="3" t="s">
        <v>781</v>
      </c>
    </row>
    <row r="108" spans="1:6" ht="15.75" customHeight="1" x14ac:dyDescent="0.35">
      <c r="A108" s="3">
        <v>107</v>
      </c>
      <c r="B108" s="3">
        <v>22</v>
      </c>
      <c r="C108" s="5" t="s">
        <v>782</v>
      </c>
      <c r="D108" s="3" t="s">
        <v>783</v>
      </c>
      <c r="E108" s="3" t="s">
        <v>784</v>
      </c>
      <c r="F108" s="3" t="s">
        <v>785</v>
      </c>
    </row>
    <row r="109" spans="1:6" ht="15.75" customHeight="1" x14ac:dyDescent="0.35">
      <c r="A109" s="3">
        <v>108</v>
      </c>
      <c r="B109" s="3">
        <v>22</v>
      </c>
      <c r="C109" s="5" t="s">
        <v>786</v>
      </c>
      <c r="D109" s="3" t="s">
        <v>787</v>
      </c>
      <c r="E109" s="3" t="s">
        <v>528</v>
      </c>
      <c r="F109" s="3" t="s">
        <v>788</v>
      </c>
    </row>
    <row r="110" spans="1:6" ht="15.75" customHeight="1" x14ac:dyDescent="0.35">
      <c r="A110" s="3">
        <v>109</v>
      </c>
      <c r="B110" s="3">
        <v>22</v>
      </c>
      <c r="C110" s="5" t="s">
        <v>789</v>
      </c>
      <c r="D110" s="3" t="s">
        <v>790</v>
      </c>
      <c r="E110" s="3" t="s">
        <v>528</v>
      </c>
      <c r="F110" s="3" t="s">
        <v>791</v>
      </c>
    </row>
    <row r="111" spans="1:6" ht="15.75" customHeight="1" x14ac:dyDescent="0.35">
      <c r="A111" s="3">
        <v>110</v>
      </c>
      <c r="B111" s="3">
        <v>22</v>
      </c>
      <c r="C111" s="5" t="s">
        <v>792</v>
      </c>
      <c r="D111" s="3" t="s">
        <v>793</v>
      </c>
      <c r="E111" s="3" t="s">
        <v>6</v>
      </c>
      <c r="F111" s="3" t="s">
        <v>794</v>
      </c>
    </row>
    <row r="112" spans="1:6" ht="15.75" customHeight="1" x14ac:dyDescent="0.35">
      <c r="A112" s="3">
        <v>111</v>
      </c>
      <c r="B112" s="3">
        <v>23</v>
      </c>
      <c r="C112" s="5" t="s">
        <v>795</v>
      </c>
      <c r="D112" s="3" t="s">
        <v>796</v>
      </c>
      <c r="E112" s="3" t="s">
        <v>458</v>
      </c>
      <c r="F112" s="3" t="s">
        <v>797</v>
      </c>
    </row>
    <row r="113" spans="1:6" ht="15.75" customHeight="1" x14ac:dyDescent="0.35">
      <c r="A113" s="3">
        <v>112</v>
      </c>
      <c r="B113" s="3">
        <v>23</v>
      </c>
      <c r="C113" s="5" t="s">
        <v>798</v>
      </c>
      <c r="D113" s="3" t="s">
        <v>799</v>
      </c>
      <c r="E113" s="3" t="s">
        <v>465</v>
      </c>
      <c r="F113" s="3" t="s">
        <v>800</v>
      </c>
    </row>
    <row r="114" spans="1:6" ht="15.75" customHeight="1" x14ac:dyDescent="0.35">
      <c r="A114" s="3">
        <v>113</v>
      </c>
      <c r="B114" s="3">
        <v>23</v>
      </c>
      <c r="C114" s="5" t="s">
        <v>801</v>
      </c>
      <c r="D114" s="3" t="s">
        <v>802</v>
      </c>
      <c r="E114" s="3" t="s">
        <v>465</v>
      </c>
      <c r="F114" s="3" t="s">
        <v>803</v>
      </c>
    </row>
    <row r="115" spans="1:6" ht="15.75" customHeight="1" x14ac:dyDescent="0.35">
      <c r="A115" s="3">
        <v>114</v>
      </c>
      <c r="B115" s="3">
        <v>23</v>
      </c>
      <c r="C115" s="5" t="s">
        <v>804</v>
      </c>
      <c r="D115" s="3" t="s">
        <v>805</v>
      </c>
      <c r="E115" s="3" t="s">
        <v>465</v>
      </c>
      <c r="F115" s="3" t="s">
        <v>806</v>
      </c>
    </row>
    <row r="116" spans="1:6" ht="15.75" customHeight="1" x14ac:dyDescent="0.35">
      <c r="A116" s="3">
        <v>115</v>
      </c>
      <c r="B116" s="3">
        <v>23</v>
      </c>
      <c r="C116" s="5" t="s">
        <v>807</v>
      </c>
      <c r="D116" s="3" t="s">
        <v>808</v>
      </c>
      <c r="E116" s="3" t="s">
        <v>458</v>
      </c>
      <c r="F116" s="3" t="s">
        <v>809</v>
      </c>
    </row>
    <row r="117" spans="1:6" ht="15.75" customHeight="1" x14ac:dyDescent="0.35">
      <c r="A117" s="3">
        <v>116</v>
      </c>
      <c r="B117" s="3">
        <v>23</v>
      </c>
      <c r="C117" s="5" t="s">
        <v>810</v>
      </c>
      <c r="D117" s="3" t="s">
        <v>811</v>
      </c>
      <c r="E117" s="3" t="s">
        <v>496</v>
      </c>
      <c r="F117" s="3" t="s">
        <v>812</v>
      </c>
    </row>
    <row r="118" spans="1:6" ht="15.75" customHeight="1" x14ac:dyDescent="0.35">
      <c r="A118" s="3">
        <v>117</v>
      </c>
      <c r="B118" s="3">
        <v>23</v>
      </c>
      <c r="C118" s="5" t="s">
        <v>813</v>
      </c>
      <c r="D118" s="3" t="s">
        <v>814</v>
      </c>
      <c r="E118" s="3" t="s">
        <v>465</v>
      </c>
      <c r="F118" s="3" t="s">
        <v>815</v>
      </c>
    </row>
    <row r="119" spans="1:6" ht="15.75" customHeight="1" x14ac:dyDescent="0.35">
      <c r="A119" s="3">
        <v>118</v>
      </c>
      <c r="B119" s="3">
        <v>23</v>
      </c>
      <c r="C119" s="5" t="s">
        <v>816</v>
      </c>
      <c r="D119" s="3" t="s">
        <v>817</v>
      </c>
      <c r="E119" s="3" t="s">
        <v>476</v>
      </c>
      <c r="F119" s="3" t="s">
        <v>818</v>
      </c>
    </row>
    <row r="120" spans="1:6" ht="15.75" customHeight="1" x14ac:dyDescent="0.35">
      <c r="A120" s="3">
        <v>119</v>
      </c>
      <c r="B120" s="3">
        <v>23</v>
      </c>
      <c r="C120" s="5" t="s">
        <v>819</v>
      </c>
      <c r="D120" s="3" t="s">
        <v>820</v>
      </c>
      <c r="E120" s="3" t="s">
        <v>458</v>
      </c>
      <c r="F120" s="3" t="s">
        <v>821</v>
      </c>
    </row>
    <row r="121" spans="1:6" ht="15.75" customHeight="1" x14ac:dyDescent="0.35">
      <c r="A121" s="3">
        <v>120</v>
      </c>
      <c r="B121" s="3">
        <v>23</v>
      </c>
      <c r="C121" s="5" t="s">
        <v>822</v>
      </c>
      <c r="D121" s="3" t="s">
        <v>823</v>
      </c>
      <c r="E121" s="3" t="s">
        <v>784</v>
      </c>
      <c r="F121" s="3" t="s">
        <v>824</v>
      </c>
    </row>
    <row r="122" spans="1:6" ht="15.75" customHeight="1" x14ac:dyDescent="0.35">
      <c r="A122" s="3">
        <v>121</v>
      </c>
      <c r="B122" s="3">
        <v>23</v>
      </c>
      <c r="C122" s="5" t="s">
        <v>825</v>
      </c>
      <c r="D122" s="3" t="s">
        <v>826</v>
      </c>
      <c r="E122" s="3" t="s">
        <v>465</v>
      </c>
      <c r="F122" s="3" t="s">
        <v>827</v>
      </c>
    </row>
    <row r="123" spans="1:6" ht="15.75" customHeight="1" x14ac:dyDescent="0.35">
      <c r="A123" s="3">
        <v>122</v>
      </c>
      <c r="B123" s="3">
        <v>24</v>
      </c>
      <c r="C123" s="5" t="s">
        <v>828</v>
      </c>
      <c r="D123" s="3" t="s">
        <v>829</v>
      </c>
      <c r="E123" s="3" t="s">
        <v>465</v>
      </c>
      <c r="F123" s="3" t="s">
        <v>830</v>
      </c>
    </row>
    <row r="124" spans="1:6" ht="15.75" customHeight="1" x14ac:dyDescent="0.35">
      <c r="A124" s="3">
        <v>123</v>
      </c>
      <c r="B124" s="3">
        <v>24</v>
      </c>
      <c r="C124" s="5" t="s">
        <v>831</v>
      </c>
      <c r="D124" s="3" t="s">
        <v>832</v>
      </c>
      <c r="E124" s="3" t="s">
        <v>458</v>
      </c>
      <c r="F124" s="3" t="s">
        <v>833</v>
      </c>
    </row>
    <row r="125" spans="1:6" ht="15.75" customHeight="1" x14ac:dyDescent="0.35">
      <c r="A125" s="3">
        <v>124</v>
      </c>
      <c r="B125" s="3">
        <v>24</v>
      </c>
      <c r="C125" s="5" t="s">
        <v>834</v>
      </c>
      <c r="D125" s="3" t="s">
        <v>835</v>
      </c>
      <c r="E125" s="3" t="s">
        <v>465</v>
      </c>
      <c r="F125" s="3" t="s">
        <v>836</v>
      </c>
    </row>
    <row r="126" spans="1:6" ht="15.75" customHeight="1" x14ac:dyDescent="0.35">
      <c r="A126" s="3">
        <v>125</v>
      </c>
      <c r="B126" s="3">
        <v>24</v>
      </c>
      <c r="C126" s="5" t="s">
        <v>837</v>
      </c>
      <c r="D126" s="3" t="s">
        <v>838</v>
      </c>
      <c r="E126" s="3" t="s">
        <v>6</v>
      </c>
      <c r="F126" s="3" t="s">
        <v>839</v>
      </c>
    </row>
    <row r="127" spans="1:6" ht="15.75" customHeight="1" x14ac:dyDescent="0.35">
      <c r="A127" s="3">
        <v>126</v>
      </c>
      <c r="B127" s="3">
        <v>24</v>
      </c>
      <c r="C127" s="5" t="s">
        <v>840</v>
      </c>
      <c r="D127" s="3" t="s">
        <v>841</v>
      </c>
      <c r="E127" s="3" t="s">
        <v>465</v>
      </c>
      <c r="F127" s="3" t="s">
        <v>842</v>
      </c>
    </row>
    <row r="128" spans="1:6" ht="15.75" customHeight="1" x14ac:dyDescent="0.35">
      <c r="A128" s="3">
        <v>127</v>
      </c>
      <c r="B128" s="3">
        <v>24</v>
      </c>
      <c r="C128" s="5" t="s">
        <v>843</v>
      </c>
      <c r="D128" s="3" t="s">
        <v>844</v>
      </c>
      <c r="E128" s="3" t="s">
        <v>465</v>
      </c>
      <c r="F128" s="3" t="s">
        <v>845</v>
      </c>
    </row>
    <row r="129" spans="1:6" ht="15.75" customHeight="1" x14ac:dyDescent="0.35">
      <c r="A129" s="3">
        <v>128</v>
      </c>
      <c r="B129" s="3">
        <v>24</v>
      </c>
      <c r="C129" s="5" t="s">
        <v>846</v>
      </c>
      <c r="D129" s="3" t="s">
        <v>847</v>
      </c>
      <c r="E129" s="3" t="s">
        <v>465</v>
      </c>
      <c r="F129" s="3" t="s">
        <v>848</v>
      </c>
    </row>
    <row r="130" spans="1:6" ht="15.75" customHeight="1" x14ac:dyDescent="0.35">
      <c r="A130" s="3">
        <v>129</v>
      </c>
      <c r="B130" s="3">
        <v>24</v>
      </c>
      <c r="C130" s="5" t="s">
        <v>849</v>
      </c>
      <c r="D130" s="3" t="s">
        <v>850</v>
      </c>
      <c r="E130" s="3" t="s">
        <v>480</v>
      </c>
      <c r="F130" s="3" t="s">
        <v>851</v>
      </c>
    </row>
    <row r="131" spans="1:6" ht="15.75" customHeight="1" x14ac:dyDescent="0.35">
      <c r="A131" s="3">
        <v>130</v>
      </c>
      <c r="B131" s="3">
        <v>24</v>
      </c>
      <c r="C131" s="5" t="s">
        <v>852</v>
      </c>
      <c r="D131" s="3" t="s">
        <v>853</v>
      </c>
      <c r="E131" s="3" t="s">
        <v>465</v>
      </c>
      <c r="F131" s="3" t="s">
        <v>854</v>
      </c>
    </row>
    <row r="132" spans="1:6" ht="15.75" customHeight="1" x14ac:dyDescent="0.35">
      <c r="A132" s="3">
        <v>131</v>
      </c>
      <c r="B132" s="3">
        <v>24</v>
      </c>
      <c r="C132" s="5" t="s">
        <v>855</v>
      </c>
      <c r="D132" s="3" t="s">
        <v>856</v>
      </c>
      <c r="E132" s="3" t="s">
        <v>458</v>
      </c>
      <c r="F132" s="3" t="s">
        <v>857</v>
      </c>
    </row>
    <row r="133" spans="1:6" ht="15.75" customHeight="1" x14ac:dyDescent="0.35">
      <c r="A133" s="3">
        <v>132</v>
      </c>
      <c r="B133" s="3">
        <v>24</v>
      </c>
      <c r="C133" s="5" t="s">
        <v>858</v>
      </c>
      <c r="D133" s="3" t="s">
        <v>859</v>
      </c>
      <c r="E133" s="3" t="s">
        <v>465</v>
      </c>
      <c r="F133" s="3" t="s">
        <v>860</v>
      </c>
    </row>
    <row r="134" spans="1:6" ht="15.75" customHeight="1" x14ac:dyDescent="0.35">
      <c r="A134" s="3">
        <v>133</v>
      </c>
      <c r="B134" s="3">
        <v>25</v>
      </c>
      <c r="C134" s="5" t="s">
        <v>861</v>
      </c>
      <c r="D134" s="3" t="s">
        <v>862</v>
      </c>
      <c r="E134" s="3" t="s">
        <v>556</v>
      </c>
      <c r="F134" s="3" t="s">
        <v>863</v>
      </c>
    </row>
    <row r="135" spans="1:6" ht="15.75" customHeight="1" x14ac:dyDescent="0.35">
      <c r="A135" s="3">
        <v>134</v>
      </c>
      <c r="B135" s="3">
        <v>25</v>
      </c>
      <c r="C135" s="5" t="s">
        <v>864</v>
      </c>
      <c r="D135" s="3" t="s">
        <v>865</v>
      </c>
      <c r="E135" s="3" t="s">
        <v>528</v>
      </c>
      <c r="F135" s="3" t="s">
        <v>866</v>
      </c>
    </row>
    <row r="136" spans="1:6" ht="15.75" customHeight="1" x14ac:dyDescent="0.35">
      <c r="A136" s="3">
        <v>135</v>
      </c>
      <c r="B136" s="3">
        <v>25</v>
      </c>
      <c r="C136" s="5" t="s">
        <v>867</v>
      </c>
      <c r="D136" s="3" t="s">
        <v>868</v>
      </c>
      <c r="E136" s="3" t="s">
        <v>528</v>
      </c>
      <c r="F136" s="3" t="s">
        <v>866</v>
      </c>
    </row>
    <row r="137" spans="1:6" ht="15.75" customHeight="1" x14ac:dyDescent="0.35">
      <c r="A137" s="3">
        <v>136</v>
      </c>
      <c r="B137" s="3">
        <v>25</v>
      </c>
      <c r="C137" s="5" t="s">
        <v>869</v>
      </c>
      <c r="D137" s="3" t="s">
        <v>870</v>
      </c>
      <c r="E137" s="3" t="s">
        <v>528</v>
      </c>
      <c r="F137" s="3" t="s">
        <v>871</v>
      </c>
    </row>
    <row r="138" spans="1:6" ht="15.75" customHeight="1" x14ac:dyDescent="0.35">
      <c r="A138" s="3">
        <v>137</v>
      </c>
      <c r="B138" s="3">
        <v>25</v>
      </c>
      <c r="C138" s="5" t="s">
        <v>872</v>
      </c>
      <c r="D138" s="3" t="s">
        <v>873</v>
      </c>
      <c r="E138" s="3" t="s">
        <v>472</v>
      </c>
      <c r="F138" s="3" t="s">
        <v>874</v>
      </c>
    </row>
    <row r="139" spans="1:6" ht="15.75" customHeight="1" x14ac:dyDescent="0.35">
      <c r="A139" s="3">
        <v>138</v>
      </c>
      <c r="B139" s="3">
        <v>25</v>
      </c>
      <c r="C139" s="5" t="s">
        <v>875</v>
      </c>
      <c r="D139" s="3" t="s">
        <v>876</v>
      </c>
      <c r="E139" s="3" t="s">
        <v>465</v>
      </c>
      <c r="F139" s="3" t="s">
        <v>877</v>
      </c>
    </row>
    <row r="140" spans="1:6" ht="15.75" customHeight="1" x14ac:dyDescent="0.35">
      <c r="A140" s="3">
        <v>139</v>
      </c>
      <c r="B140" s="3">
        <v>25</v>
      </c>
      <c r="C140" s="5" t="s">
        <v>878</v>
      </c>
      <c r="D140" s="3" t="s">
        <v>879</v>
      </c>
      <c r="E140" s="3" t="s">
        <v>458</v>
      </c>
      <c r="F140" s="3" t="s">
        <v>880</v>
      </c>
    </row>
    <row r="141" spans="1:6" ht="15.75" customHeight="1" x14ac:dyDescent="0.35">
      <c r="A141" s="3">
        <v>140</v>
      </c>
      <c r="B141" s="3">
        <v>25</v>
      </c>
      <c r="C141" s="5" t="s">
        <v>881</v>
      </c>
      <c r="D141" s="3" t="s">
        <v>882</v>
      </c>
      <c r="E141" s="3" t="s">
        <v>458</v>
      </c>
      <c r="F141" s="3" t="s">
        <v>883</v>
      </c>
    </row>
    <row r="142" spans="1:6" ht="15.75" customHeight="1" x14ac:dyDescent="0.35">
      <c r="A142" s="3">
        <v>141</v>
      </c>
      <c r="B142" s="3">
        <v>25</v>
      </c>
      <c r="C142" s="5" t="s">
        <v>884</v>
      </c>
      <c r="D142" s="3" t="s">
        <v>885</v>
      </c>
      <c r="E142" s="3" t="s">
        <v>465</v>
      </c>
      <c r="F142" s="3" t="s">
        <v>886</v>
      </c>
    </row>
    <row r="143" spans="1:6" ht="15.75" customHeight="1" x14ac:dyDescent="0.35">
      <c r="A143" s="3">
        <v>142</v>
      </c>
      <c r="B143" s="3">
        <v>25</v>
      </c>
      <c r="C143" s="5" t="s">
        <v>887</v>
      </c>
      <c r="D143" s="3" t="s">
        <v>888</v>
      </c>
      <c r="E143" s="3" t="s">
        <v>465</v>
      </c>
      <c r="F143" s="3" t="s">
        <v>889</v>
      </c>
    </row>
    <row r="144" spans="1:6" ht="15.75" customHeight="1" x14ac:dyDescent="0.35">
      <c r="A144" s="3">
        <v>143</v>
      </c>
      <c r="B144" s="3">
        <v>25</v>
      </c>
      <c r="C144" s="5" t="s">
        <v>890</v>
      </c>
      <c r="D144" s="3" t="s">
        <v>891</v>
      </c>
      <c r="E144" s="3" t="s">
        <v>465</v>
      </c>
      <c r="F144" s="3" t="s">
        <v>892</v>
      </c>
    </row>
    <row r="145" spans="1:6" ht="15.75" customHeight="1" x14ac:dyDescent="0.35">
      <c r="A145" s="3">
        <v>144</v>
      </c>
      <c r="B145" s="3">
        <v>26</v>
      </c>
      <c r="C145" s="5" t="s">
        <v>893</v>
      </c>
      <c r="D145" s="3" t="s">
        <v>894</v>
      </c>
      <c r="E145" s="3" t="s">
        <v>458</v>
      </c>
      <c r="F145" s="3" t="s">
        <v>707</v>
      </c>
    </row>
    <row r="146" spans="1:6" ht="15.75" customHeight="1" x14ac:dyDescent="0.35">
      <c r="A146" s="3">
        <v>145</v>
      </c>
      <c r="B146" s="3">
        <v>26</v>
      </c>
      <c r="C146" s="5" t="s">
        <v>895</v>
      </c>
      <c r="D146" s="3" t="s">
        <v>896</v>
      </c>
      <c r="E146" s="3" t="s">
        <v>480</v>
      </c>
      <c r="F146" s="3" t="s">
        <v>897</v>
      </c>
    </row>
    <row r="147" spans="1:6" ht="15.75" customHeight="1" x14ac:dyDescent="0.35">
      <c r="A147" s="3">
        <v>146</v>
      </c>
      <c r="B147" s="3">
        <v>26</v>
      </c>
      <c r="C147" s="5" t="s">
        <v>898</v>
      </c>
      <c r="D147" s="3" t="s">
        <v>899</v>
      </c>
      <c r="E147" s="3" t="s">
        <v>465</v>
      </c>
      <c r="F147" s="3" t="s">
        <v>900</v>
      </c>
    </row>
    <row r="148" spans="1:6" ht="15.75" customHeight="1" x14ac:dyDescent="0.35">
      <c r="A148" s="3">
        <v>147</v>
      </c>
      <c r="B148" s="3">
        <v>26</v>
      </c>
      <c r="C148" s="5" t="s">
        <v>901</v>
      </c>
      <c r="D148" s="3" t="s">
        <v>902</v>
      </c>
      <c r="E148" s="3" t="s">
        <v>458</v>
      </c>
      <c r="F148" s="3" t="s">
        <v>903</v>
      </c>
    </row>
    <row r="149" spans="1:6" ht="15.75" customHeight="1" x14ac:dyDescent="0.35">
      <c r="A149" s="3">
        <v>148</v>
      </c>
      <c r="B149" s="3">
        <v>26</v>
      </c>
      <c r="C149" s="5" t="s">
        <v>904</v>
      </c>
      <c r="D149" s="3" t="s">
        <v>902</v>
      </c>
      <c r="E149" s="3" t="s">
        <v>458</v>
      </c>
      <c r="F149" s="3" t="s">
        <v>905</v>
      </c>
    </row>
    <row r="150" spans="1:6" ht="15.75" customHeight="1" x14ac:dyDescent="0.35">
      <c r="A150" s="3">
        <v>149</v>
      </c>
      <c r="B150" s="3">
        <v>26</v>
      </c>
      <c r="C150" s="5" t="s">
        <v>906</v>
      </c>
      <c r="D150" s="3" t="s">
        <v>907</v>
      </c>
      <c r="E150" s="3" t="s">
        <v>465</v>
      </c>
      <c r="F150" s="3" t="s">
        <v>908</v>
      </c>
    </row>
    <row r="151" spans="1:6" ht="15.75" customHeight="1" x14ac:dyDescent="0.35">
      <c r="A151" s="3">
        <v>150</v>
      </c>
      <c r="B151" s="3">
        <v>26</v>
      </c>
      <c r="C151" s="5" t="s">
        <v>909</v>
      </c>
      <c r="D151" s="3" t="s">
        <v>910</v>
      </c>
      <c r="E151" s="3" t="s">
        <v>911</v>
      </c>
      <c r="F151" s="3" t="s">
        <v>912</v>
      </c>
    </row>
    <row r="152" spans="1:6" ht="15.75" customHeight="1" x14ac:dyDescent="0.35">
      <c r="A152" s="3">
        <v>151</v>
      </c>
      <c r="B152" s="3">
        <v>26</v>
      </c>
      <c r="C152" s="5" t="s">
        <v>913</v>
      </c>
      <c r="D152" s="3" t="s">
        <v>719</v>
      </c>
      <c r="E152" s="3" t="s">
        <v>914</v>
      </c>
      <c r="F152" s="3" t="s">
        <v>915</v>
      </c>
    </row>
    <row r="153" spans="1:6" ht="15.75" customHeight="1" x14ac:dyDescent="0.35">
      <c r="A153" s="3">
        <v>152</v>
      </c>
      <c r="B153" s="3">
        <v>26</v>
      </c>
      <c r="C153" s="5" t="s">
        <v>916</v>
      </c>
      <c r="D153" s="3" t="s">
        <v>917</v>
      </c>
      <c r="E153" s="3" t="s">
        <v>918</v>
      </c>
      <c r="F153" s="3" t="s">
        <v>919</v>
      </c>
    </row>
    <row r="154" spans="1:6" ht="15.75" customHeight="1" x14ac:dyDescent="0.35">
      <c r="A154" s="3">
        <v>153</v>
      </c>
      <c r="B154" s="3">
        <v>26</v>
      </c>
      <c r="C154" s="5" t="s">
        <v>920</v>
      </c>
      <c r="D154" s="3" t="s">
        <v>921</v>
      </c>
      <c r="E154" s="3" t="s">
        <v>922</v>
      </c>
      <c r="F154" s="3" t="s">
        <v>923</v>
      </c>
    </row>
    <row r="155" spans="1:6" ht="15.75" customHeight="1" x14ac:dyDescent="0.35">
      <c r="A155" s="3">
        <v>154</v>
      </c>
      <c r="B155" s="3">
        <v>27</v>
      </c>
      <c r="C155" s="5" t="s">
        <v>924</v>
      </c>
      <c r="D155" s="3" t="s">
        <v>925</v>
      </c>
      <c r="E155" s="3" t="s">
        <v>926</v>
      </c>
      <c r="F155" s="3" t="s">
        <v>927</v>
      </c>
    </row>
    <row r="156" spans="1:6" ht="15.75" customHeight="1" x14ac:dyDescent="0.35">
      <c r="A156" s="3">
        <v>155</v>
      </c>
      <c r="B156" s="3">
        <v>27</v>
      </c>
      <c r="C156" s="5" t="s">
        <v>928</v>
      </c>
      <c r="D156" s="3" t="s">
        <v>929</v>
      </c>
      <c r="E156" s="3" t="s">
        <v>922</v>
      </c>
      <c r="F156" s="3" t="s">
        <v>930</v>
      </c>
    </row>
    <row r="157" spans="1:6" ht="15.75" customHeight="1" x14ac:dyDescent="0.35">
      <c r="A157" s="3">
        <v>156</v>
      </c>
      <c r="B157" s="3">
        <v>27</v>
      </c>
      <c r="C157" s="5" t="s">
        <v>931</v>
      </c>
      <c r="D157" s="3" t="s">
        <v>932</v>
      </c>
      <c r="E157" s="3" t="s">
        <v>926</v>
      </c>
      <c r="F157" s="3" t="s">
        <v>933</v>
      </c>
    </row>
    <row r="158" spans="1:6" ht="15.75" customHeight="1" x14ac:dyDescent="0.35">
      <c r="A158" s="3">
        <v>157</v>
      </c>
      <c r="B158" s="3">
        <v>27</v>
      </c>
      <c r="C158" s="5" t="s">
        <v>934</v>
      </c>
      <c r="D158" s="3" t="s">
        <v>935</v>
      </c>
      <c r="E158" s="3" t="s">
        <v>922</v>
      </c>
      <c r="F158" s="3" t="s">
        <v>936</v>
      </c>
    </row>
    <row r="159" spans="1:6" ht="15.75" customHeight="1" x14ac:dyDescent="0.35">
      <c r="A159" s="3">
        <v>158</v>
      </c>
      <c r="B159" s="3">
        <v>27</v>
      </c>
      <c r="C159" s="5" t="s">
        <v>937</v>
      </c>
      <c r="D159" s="3" t="s">
        <v>938</v>
      </c>
      <c r="E159" s="3" t="s">
        <v>922</v>
      </c>
      <c r="F159" s="3" t="s">
        <v>939</v>
      </c>
    </row>
    <row r="160" spans="1:6" ht="15.75" customHeight="1" x14ac:dyDescent="0.35">
      <c r="A160" s="3">
        <v>159</v>
      </c>
      <c r="B160" s="3">
        <v>27</v>
      </c>
      <c r="C160" s="5" t="s">
        <v>940</v>
      </c>
      <c r="D160" s="3" t="s">
        <v>941</v>
      </c>
      <c r="E160" s="3" t="s">
        <v>911</v>
      </c>
      <c r="F160" s="3" t="s">
        <v>942</v>
      </c>
    </row>
    <row r="161" spans="1:6" ht="15.75" customHeight="1" x14ac:dyDescent="0.35">
      <c r="A161" s="3">
        <v>160</v>
      </c>
      <c r="B161" s="3">
        <v>27</v>
      </c>
      <c r="C161" s="5" t="s">
        <v>943</v>
      </c>
      <c r="D161" s="3" t="s">
        <v>944</v>
      </c>
      <c r="E161" s="3" t="s">
        <v>911</v>
      </c>
      <c r="F161" s="3" t="s">
        <v>945</v>
      </c>
    </row>
    <row r="162" spans="1:6" ht="15.75" customHeight="1" x14ac:dyDescent="0.35">
      <c r="A162" s="3">
        <v>161</v>
      </c>
      <c r="B162" s="3">
        <v>27</v>
      </c>
      <c r="C162" s="5" t="s">
        <v>946</v>
      </c>
      <c r="D162" s="3" t="s">
        <v>947</v>
      </c>
      <c r="E162" s="3" t="s">
        <v>911</v>
      </c>
      <c r="F162" s="3" t="s">
        <v>948</v>
      </c>
    </row>
    <row r="163" spans="1:6" ht="15.75" customHeight="1" x14ac:dyDescent="0.35">
      <c r="A163" s="3">
        <v>162</v>
      </c>
      <c r="B163" s="3">
        <v>27</v>
      </c>
      <c r="C163" s="5" t="s">
        <v>949</v>
      </c>
      <c r="D163" s="3" t="s">
        <v>950</v>
      </c>
      <c r="E163" s="3" t="s">
        <v>922</v>
      </c>
      <c r="F163" s="3" t="s">
        <v>951</v>
      </c>
    </row>
    <row r="164" spans="1:6" ht="15.75" customHeight="1" x14ac:dyDescent="0.35">
      <c r="A164" s="3">
        <v>163</v>
      </c>
      <c r="B164" s="3">
        <v>27</v>
      </c>
      <c r="C164" s="5" t="s">
        <v>952</v>
      </c>
      <c r="D164" s="3" t="s">
        <v>953</v>
      </c>
      <c r="E164" s="3" t="s">
        <v>922</v>
      </c>
      <c r="F164" s="3" t="s">
        <v>954</v>
      </c>
    </row>
    <row r="165" spans="1:6" ht="15.75" customHeight="1" x14ac:dyDescent="0.35">
      <c r="A165" s="3">
        <v>164</v>
      </c>
      <c r="B165" s="3">
        <v>29</v>
      </c>
      <c r="C165" s="5" t="s">
        <v>955</v>
      </c>
      <c r="D165" s="3" t="s">
        <v>956</v>
      </c>
      <c r="E165" s="3" t="s">
        <v>922</v>
      </c>
      <c r="F165" s="3" t="s">
        <v>957</v>
      </c>
    </row>
    <row r="166" spans="1:6" ht="15.75" customHeight="1" x14ac:dyDescent="0.35">
      <c r="A166" s="3">
        <v>165</v>
      </c>
      <c r="B166" s="3">
        <v>29</v>
      </c>
      <c r="C166" s="5" t="s">
        <v>958</v>
      </c>
      <c r="D166" s="3" t="s">
        <v>959</v>
      </c>
      <c r="E166" s="3" t="s">
        <v>922</v>
      </c>
      <c r="F166" s="3" t="s">
        <v>960</v>
      </c>
    </row>
    <row r="167" spans="1:6" ht="15.75" customHeight="1" x14ac:dyDescent="0.35">
      <c r="A167" s="3">
        <v>166</v>
      </c>
      <c r="B167" s="3">
        <v>29</v>
      </c>
      <c r="C167" s="5" t="s">
        <v>961</v>
      </c>
      <c r="D167" s="3" t="s">
        <v>962</v>
      </c>
      <c r="E167" s="3" t="s">
        <v>922</v>
      </c>
      <c r="F167" s="3" t="s">
        <v>963</v>
      </c>
    </row>
    <row r="168" spans="1:6" ht="15.75" customHeight="1" x14ac:dyDescent="0.35">
      <c r="A168" s="3">
        <v>167</v>
      </c>
      <c r="B168" s="3">
        <v>29</v>
      </c>
      <c r="C168" s="5" t="s">
        <v>964</v>
      </c>
      <c r="D168" s="3" t="s">
        <v>965</v>
      </c>
      <c r="E168" s="3" t="s">
        <v>966</v>
      </c>
      <c r="F168" s="3" t="s">
        <v>967</v>
      </c>
    </row>
    <row r="169" spans="1:6" ht="15.75" customHeight="1" x14ac:dyDescent="0.35">
      <c r="A169" s="3">
        <v>168</v>
      </c>
      <c r="B169" s="3">
        <v>29</v>
      </c>
      <c r="C169" s="5" t="s">
        <v>968</v>
      </c>
      <c r="D169" s="3" t="s">
        <v>969</v>
      </c>
      <c r="E169" s="3" t="s">
        <v>970</v>
      </c>
      <c r="F169" s="3" t="s">
        <v>971</v>
      </c>
    </row>
    <row r="170" spans="1:6" ht="15.75" customHeight="1" x14ac:dyDescent="0.35">
      <c r="A170" s="3">
        <v>169</v>
      </c>
      <c r="B170" s="3">
        <v>29</v>
      </c>
      <c r="C170" s="5" t="s">
        <v>972</v>
      </c>
      <c r="D170" s="3" t="s">
        <v>973</v>
      </c>
      <c r="E170" s="3" t="s">
        <v>974</v>
      </c>
      <c r="F170" s="3" t="s">
        <v>975</v>
      </c>
    </row>
    <row r="171" spans="1:6" ht="15.75" customHeight="1" x14ac:dyDescent="0.35">
      <c r="A171" s="3">
        <v>170</v>
      </c>
      <c r="B171" s="3">
        <v>29</v>
      </c>
      <c r="C171" s="5" t="s">
        <v>976</v>
      </c>
      <c r="D171" s="3" t="s">
        <v>977</v>
      </c>
      <c r="E171" s="3" t="s">
        <v>922</v>
      </c>
      <c r="F171" s="3" t="s">
        <v>978</v>
      </c>
    </row>
    <row r="172" spans="1:6" ht="15.75" customHeight="1" x14ac:dyDescent="0.35">
      <c r="A172" s="3">
        <v>171</v>
      </c>
      <c r="B172" s="3">
        <v>29</v>
      </c>
      <c r="C172" s="5" t="s">
        <v>979</v>
      </c>
      <c r="D172" s="3" t="s">
        <v>980</v>
      </c>
      <c r="E172" s="3" t="s">
        <v>922</v>
      </c>
      <c r="F172" s="3" t="s">
        <v>981</v>
      </c>
    </row>
    <row r="173" spans="1:6" ht="15.75" customHeight="1" x14ac:dyDescent="0.35">
      <c r="A173" s="3">
        <v>172</v>
      </c>
      <c r="B173" s="3">
        <v>29</v>
      </c>
      <c r="C173" s="5" t="s">
        <v>982</v>
      </c>
      <c r="D173" s="3" t="s">
        <v>983</v>
      </c>
      <c r="E173" s="3" t="s">
        <v>922</v>
      </c>
      <c r="F173" s="3" t="s">
        <v>984</v>
      </c>
    </row>
    <row r="174" spans="1:6" ht="15.75" customHeight="1" x14ac:dyDescent="0.35">
      <c r="A174" s="3">
        <v>173</v>
      </c>
      <c r="B174" s="3">
        <v>29</v>
      </c>
      <c r="C174" s="5" t="s">
        <v>985</v>
      </c>
      <c r="D174" s="3" t="s">
        <v>986</v>
      </c>
      <c r="E174" s="3" t="s">
        <v>970</v>
      </c>
      <c r="F174" s="3" t="s">
        <v>987</v>
      </c>
    </row>
    <row r="175" spans="1:6" ht="15.75" customHeight="1" x14ac:dyDescent="0.35">
      <c r="A175" s="3">
        <v>174</v>
      </c>
      <c r="B175" s="3">
        <v>30</v>
      </c>
      <c r="C175" s="5" t="s">
        <v>988</v>
      </c>
      <c r="D175" s="3" t="s">
        <v>989</v>
      </c>
      <c r="E175" s="3" t="s">
        <v>918</v>
      </c>
      <c r="F175" s="3" t="s">
        <v>990</v>
      </c>
    </row>
    <row r="176" spans="1:6" ht="15.75" customHeight="1" x14ac:dyDescent="0.35">
      <c r="A176" s="3">
        <v>175</v>
      </c>
      <c r="B176" s="3">
        <v>30</v>
      </c>
      <c r="C176" s="5" t="s">
        <v>991</v>
      </c>
      <c r="D176" s="3" t="s">
        <v>992</v>
      </c>
      <c r="E176" s="3" t="s">
        <v>993</v>
      </c>
      <c r="F176" s="3" t="s">
        <v>994</v>
      </c>
    </row>
    <row r="177" spans="1:6" ht="15.75" customHeight="1" x14ac:dyDescent="0.35">
      <c r="A177" s="3">
        <v>176</v>
      </c>
      <c r="B177" s="3">
        <v>30</v>
      </c>
      <c r="C177" s="5" t="s">
        <v>995</v>
      </c>
      <c r="D177" s="3" t="s">
        <v>996</v>
      </c>
      <c r="E177" s="3" t="s">
        <v>970</v>
      </c>
      <c r="F177" s="3" t="s">
        <v>997</v>
      </c>
    </row>
    <row r="178" spans="1:6" ht="15.75" customHeight="1" x14ac:dyDescent="0.35">
      <c r="A178" s="3">
        <v>177</v>
      </c>
      <c r="B178" s="3">
        <v>30</v>
      </c>
      <c r="C178" s="5" t="s">
        <v>998</v>
      </c>
      <c r="D178" s="3" t="s">
        <v>999</v>
      </c>
      <c r="E178" s="3" t="s">
        <v>918</v>
      </c>
      <c r="F178" s="3" t="s">
        <v>1000</v>
      </c>
    </row>
    <row r="179" spans="1:6" ht="15.75" customHeight="1" x14ac:dyDescent="0.35">
      <c r="A179" s="3">
        <v>178</v>
      </c>
      <c r="B179" s="3">
        <v>30</v>
      </c>
      <c r="C179" s="5" t="s">
        <v>1001</v>
      </c>
      <c r="D179" s="3" t="s">
        <v>1002</v>
      </c>
      <c r="E179" s="3" t="s">
        <v>970</v>
      </c>
      <c r="F179" s="3" t="s">
        <v>1003</v>
      </c>
    </row>
    <row r="180" spans="1:6" ht="15.75" customHeight="1" x14ac:dyDescent="0.35">
      <c r="A180" s="3">
        <v>179</v>
      </c>
      <c r="B180" s="3">
        <v>30</v>
      </c>
      <c r="C180" s="5" t="s">
        <v>1004</v>
      </c>
      <c r="D180" s="3" t="s">
        <v>1005</v>
      </c>
      <c r="E180" s="3" t="s">
        <v>911</v>
      </c>
      <c r="F180" s="3" t="s">
        <v>1006</v>
      </c>
    </row>
    <row r="181" spans="1:6" ht="15.75" customHeight="1" x14ac:dyDescent="0.35">
      <c r="A181" s="3">
        <v>180</v>
      </c>
      <c r="B181" s="3">
        <v>30</v>
      </c>
      <c r="C181" s="5" t="s">
        <v>1007</v>
      </c>
      <c r="D181" s="3" t="s">
        <v>1008</v>
      </c>
      <c r="E181" s="3" t="s">
        <v>911</v>
      </c>
      <c r="F181" s="3" t="s">
        <v>1009</v>
      </c>
    </row>
    <row r="182" spans="1:6" ht="15.75" customHeight="1" x14ac:dyDescent="0.35">
      <c r="A182" s="3">
        <v>181</v>
      </c>
      <c r="B182" s="3">
        <v>30</v>
      </c>
      <c r="C182" s="5" t="s">
        <v>1010</v>
      </c>
      <c r="D182" s="3" t="s">
        <v>1011</v>
      </c>
      <c r="E182" s="3" t="s">
        <v>911</v>
      </c>
      <c r="F182" s="3" t="s">
        <v>1012</v>
      </c>
    </row>
    <row r="183" spans="1:6" ht="15.75" customHeight="1" x14ac:dyDescent="0.35">
      <c r="A183" s="3">
        <v>182</v>
      </c>
      <c r="B183" s="3">
        <v>30</v>
      </c>
      <c r="C183" s="5" t="s">
        <v>1013</v>
      </c>
      <c r="D183" s="3" t="s">
        <v>1014</v>
      </c>
      <c r="E183" s="3" t="s">
        <v>922</v>
      </c>
      <c r="F183" s="3" t="s">
        <v>1015</v>
      </c>
    </row>
    <row r="184" spans="1:6" ht="15.75" customHeight="1" x14ac:dyDescent="0.35">
      <c r="A184" s="3">
        <v>183</v>
      </c>
      <c r="B184" s="3">
        <v>30</v>
      </c>
      <c r="C184" s="5" t="s">
        <v>1016</v>
      </c>
      <c r="D184" s="3" t="s">
        <v>1017</v>
      </c>
      <c r="E184" s="3" t="s">
        <v>922</v>
      </c>
      <c r="F184" s="3" t="s">
        <v>1018</v>
      </c>
    </row>
    <row r="185" spans="1:6" ht="15.75" customHeight="1" x14ac:dyDescent="0.35">
      <c r="A185" s="3">
        <v>184</v>
      </c>
      <c r="B185" s="3">
        <v>31</v>
      </c>
      <c r="C185" s="5" t="s">
        <v>1019</v>
      </c>
      <c r="D185" s="3" t="s">
        <v>1020</v>
      </c>
      <c r="E185" s="3" t="s">
        <v>922</v>
      </c>
      <c r="F185" s="3" t="s">
        <v>1021</v>
      </c>
    </row>
    <row r="186" spans="1:6" ht="15.75" customHeight="1" x14ac:dyDescent="0.35">
      <c r="A186" s="3">
        <v>185</v>
      </c>
      <c r="B186" s="3">
        <v>31</v>
      </c>
      <c r="C186" s="5" t="s">
        <v>1022</v>
      </c>
      <c r="D186" s="3" t="s">
        <v>1023</v>
      </c>
      <c r="E186" s="3" t="s">
        <v>922</v>
      </c>
      <c r="F186" s="3" t="s">
        <v>1024</v>
      </c>
    </row>
    <row r="187" spans="1:6" ht="15.75" customHeight="1" x14ac:dyDescent="0.35">
      <c r="A187" s="3">
        <v>186</v>
      </c>
      <c r="B187" s="3">
        <v>31</v>
      </c>
      <c r="C187" s="5" t="s">
        <v>1025</v>
      </c>
      <c r="D187" s="3" t="s">
        <v>1026</v>
      </c>
      <c r="E187" s="3" t="s">
        <v>911</v>
      </c>
      <c r="F187" s="3" t="s">
        <v>1027</v>
      </c>
    </row>
    <row r="188" spans="1:6" ht="15.75" customHeight="1" x14ac:dyDescent="0.35">
      <c r="A188" s="3">
        <v>187</v>
      </c>
      <c r="B188" s="3">
        <v>31</v>
      </c>
      <c r="C188" s="5" t="s">
        <v>1028</v>
      </c>
      <c r="D188" s="3" t="s">
        <v>1029</v>
      </c>
      <c r="E188" s="3" t="s">
        <v>911</v>
      </c>
      <c r="F188" s="3" t="s">
        <v>1030</v>
      </c>
    </row>
    <row r="189" spans="1:6" ht="15.75" customHeight="1" x14ac:dyDescent="0.35">
      <c r="A189" s="3">
        <v>188</v>
      </c>
      <c r="B189" s="3">
        <v>31</v>
      </c>
      <c r="C189" s="5" t="s">
        <v>1031</v>
      </c>
      <c r="D189" s="3" t="s">
        <v>1032</v>
      </c>
      <c r="E189" s="3" t="s">
        <v>911</v>
      </c>
      <c r="F189" s="3" t="s">
        <v>1033</v>
      </c>
    </row>
    <row r="190" spans="1:6" ht="15.75" customHeight="1" x14ac:dyDescent="0.35">
      <c r="A190" s="3">
        <v>189</v>
      </c>
      <c r="B190" s="3">
        <v>31</v>
      </c>
      <c r="C190" s="5" t="s">
        <v>1034</v>
      </c>
      <c r="D190" s="3" t="s">
        <v>1035</v>
      </c>
      <c r="E190" s="3" t="s">
        <v>911</v>
      </c>
      <c r="F190" s="3" t="s">
        <v>1036</v>
      </c>
    </row>
    <row r="191" spans="1:6" ht="15.75" customHeight="1" x14ac:dyDescent="0.35">
      <c r="A191" s="3">
        <v>190</v>
      </c>
      <c r="B191" s="3">
        <v>31</v>
      </c>
      <c r="C191" s="5" t="s">
        <v>1037</v>
      </c>
      <c r="D191" s="3" t="s">
        <v>1038</v>
      </c>
      <c r="E191" s="3" t="s">
        <v>911</v>
      </c>
      <c r="F191" s="3" t="s">
        <v>1039</v>
      </c>
    </row>
    <row r="192" spans="1:6" ht="15.75" customHeight="1" x14ac:dyDescent="0.35">
      <c r="A192" s="3">
        <v>191</v>
      </c>
      <c r="B192" s="3">
        <v>31</v>
      </c>
      <c r="C192" s="5" t="s">
        <v>1040</v>
      </c>
      <c r="D192" s="3" t="s">
        <v>1041</v>
      </c>
      <c r="E192" s="3" t="s">
        <v>922</v>
      </c>
      <c r="F192" s="3" t="s">
        <v>1042</v>
      </c>
    </row>
    <row r="193" spans="1:6" ht="15.75" customHeight="1" x14ac:dyDescent="0.35">
      <c r="A193" s="3">
        <v>192</v>
      </c>
      <c r="B193" s="3">
        <v>31</v>
      </c>
      <c r="C193" s="5" t="s">
        <v>1043</v>
      </c>
      <c r="D193" s="3" t="s">
        <v>1044</v>
      </c>
      <c r="E193" s="3" t="s">
        <v>1045</v>
      </c>
      <c r="F193" s="3" t="s">
        <v>1046</v>
      </c>
    </row>
    <row r="194" spans="1:6" ht="15.75" customHeight="1" x14ac:dyDescent="0.35">
      <c r="A194" s="3">
        <v>193</v>
      </c>
      <c r="B194" s="3">
        <v>31</v>
      </c>
      <c r="C194" s="5" t="s">
        <v>1047</v>
      </c>
      <c r="D194" s="3" t="s">
        <v>1048</v>
      </c>
      <c r="E194" s="3" t="s">
        <v>966</v>
      </c>
      <c r="F194" s="3" t="s">
        <v>1049</v>
      </c>
    </row>
    <row r="195" spans="1:6" ht="15.75" customHeight="1" x14ac:dyDescent="0.35">
      <c r="A195" s="3">
        <v>194</v>
      </c>
      <c r="B195" s="3">
        <v>32</v>
      </c>
      <c r="C195" s="5" t="s">
        <v>1050</v>
      </c>
      <c r="D195" s="3" t="s">
        <v>1051</v>
      </c>
      <c r="E195" s="3" t="s">
        <v>918</v>
      </c>
      <c r="F195" s="3" t="s">
        <v>1052</v>
      </c>
    </row>
    <row r="196" spans="1:6" ht="15.75" customHeight="1" x14ac:dyDescent="0.35">
      <c r="A196" s="3">
        <v>195</v>
      </c>
      <c r="B196" s="3">
        <v>32</v>
      </c>
      <c r="C196" s="5" t="s">
        <v>1053</v>
      </c>
      <c r="D196" s="3" t="s">
        <v>1054</v>
      </c>
      <c r="E196" s="3" t="s">
        <v>911</v>
      </c>
      <c r="F196" s="3" t="s">
        <v>1055</v>
      </c>
    </row>
    <row r="197" spans="1:6" ht="15.75" customHeight="1" x14ac:dyDescent="0.35">
      <c r="A197" s="3">
        <v>196</v>
      </c>
      <c r="B197" s="3">
        <v>32</v>
      </c>
      <c r="C197" s="5" t="s">
        <v>1056</v>
      </c>
      <c r="D197" s="3" t="s">
        <v>1057</v>
      </c>
      <c r="E197" s="3" t="s">
        <v>911</v>
      </c>
      <c r="F197" s="3" t="s">
        <v>1058</v>
      </c>
    </row>
    <row r="198" spans="1:6" ht="15.75" customHeight="1" x14ac:dyDescent="0.35">
      <c r="A198" s="3">
        <v>197</v>
      </c>
      <c r="B198" s="3">
        <v>32</v>
      </c>
      <c r="C198" s="5" t="s">
        <v>1059</v>
      </c>
      <c r="D198" s="3" t="s">
        <v>1060</v>
      </c>
      <c r="E198" s="3" t="s">
        <v>911</v>
      </c>
      <c r="F198" s="3" t="s">
        <v>1061</v>
      </c>
    </row>
    <row r="199" spans="1:6" ht="15.75" customHeight="1" x14ac:dyDescent="0.35">
      <c r="A199" s="3">
        <v>198</v>
      </c>
      <c r="B199" s="3">
        <v>32</v>
      </c>
      <c r="C199" s="5" t="s">
        <v>1062</v>
      </c>
      <c r="D199" s="3" t="s">
        <v>1063</v>
      </c>
      <c r="E199" s="3" t="s">
        <v>911</v>
      </c>
      <c r="F199" s="3" t="s">
        <v>1064</v>
      </c>
    </row>
    <row r="200" spans="1:6" ht="15.75" customHeight="1" x14ac:dyDescent="0.35">
      <c r="A200" s="3">
        <v>199</v>
      </c>
      <c r="B200" s="3">
        <v>32</v>
      </c>
      <c r="C200" s="5" t="s">
        <v>1065</v>
      </c>
      <c r="D200" s="3" t="s">
        <v>1066</v>
      </c>
      <c r="E200" s="3" t="s">
        <v>911</v>
      </c>
      <c r="F200" s="3" t="s">
        <v>1067</v>
      </c>
    </row>
    <row r="201" spans="1:6" ht="15.75" customHeight="1" x14ac:dyDescent="0.35">
      <c r="A201" s="3">
        <v>200</v>
      </c>
      <c r="B201" s="3">
        <v>32</v>
      </c>
      <c r="C201" s="5" t="s">
        <v>1068</v>
      </c>
      <c r="D201" s="3" t="s">
        <v>1069</v>
      </c>
      <c r="E201" s="3" t="s">
        <v>922</v>
      </c>
      <c r="F201" s="3" t="s">
        <v>1070</v>
      </c>
    </row>
    <row r="202" spans="1:6" ht="15.75" customHeight="1" x14ac:dyDescent="0.35">
      <c r="A202" s="3">
        <v>201</v>
      </c>
      <c r="B202" s="3">
        <v>32</v>
      </c>
      <c r="C202" s="5" t="s">
        <v>1071</v>
      </c>
      <c r="D202" s="3" t="s">
        <v>1072</v>
      </c>
      <c r="E202" s="3" t="s">
        <v>922</v>
      </c>
      <c r="F202" s="3" t="s">
        <v>1073</v>
      </c>
    </row>
    <row r="203" spans="1:6" ht="15.75" customHeight="1" x14ac:dyDescent="0.35">
      <c r="A203" s="3">
        <v>202</v>
      </c>
      <c r="B203" s="3">
        <v>32</v>
      </c>
      <c r="C203" s="5" t="s">
        <v>1074</v>
      </c>
      <c r="D203" s="3" t="s">
        <v>1075</v>
      </c>
      <c r="E203" s="3" t="s">
        <v>911</v>
      </c>
      <c r="F203" s="3" t="s">
        <v>1076</v>
      </c>
    </row>
    <row r="204" spans="1:6" ht="15.75" customHeight="1" x14ac:dyDescent="0.35">
      <c r="A204" s="3">
        <v>203</v>
      </c>
      <c r="B204" s="3">
        <v>32</v>
      </c>
      <c r="C204" s="5" t="s">
        <v>1077</v>
      </c>
      <c r="D204" s="3" t="s">
        <v>1078</v>
      </c>
      <c r="E204" s="3" t="s">
        <v>911</v>
      </c>
      <c r="F204" s="3" t="s">
        <v>1079</v>
      </c>
    </row>
    <row r="205" spans="1:6" ht="15.75" customHeight="1" x14ac:dyDescent="0.35">
      <c r="A205" s="3">
        <v>204</v>
      </c>
      <c r="B205" s="3">
        <v>33</v>
      </c>
      <c r="C205" s="5" t="s">
        <v>1080</v>
      </c>
      <c r="D205" s="3" t="s">
        <v>499</v>
      </c>
      <c r="E205" s="3" t="s">
        <v>914</v>
      </c>
      <c r="F205" s="3" t="s">
        <v>1081</v>
      </c>
    </row>
    <row r="206" spans="1:6" ht="15.75" customHeight="1" x14ac:dyDescent="0.35">
      <c r="A206" s="3">
        <v>205</v>
      </c>
      <c r="B206" s="3">
        <v>33</v>
      </c>
      <c r="C206" s="5" t="s">
        <v>1082</v>
      </c>
      <c r="D206" s="3" t="s">
        <v>1083</v>
      </c>
      <c r="E206" s="3" t="s">
        <v>911</v>
      </c>
      <c r="F206" s="3" t="s">
        <v>1084</v>
      </c>
    </row>
    <row r="207" spans="1:6" ht="15.75" customHeight="1" x14ac:dyDescent="0.35">
      <c r="A207" s="3">
        <v>206</v>
      </c>
      <c r="B207" s="3">
        <v>33</v>
      </c>
      <c r="C207" s="5" t="s">
        <v>1085</v>
      </c>
      <c r="D207" s="3" t="s">
        <v>1086</v>
      </c>
      <c r="E207" s="3" t="s">
        <v>922</v>
      </c>
      <c r="F207" s="3" t="s">
        <v>1087</v>
      </c>
    </row>
    <row r="208" spans="1:6" ht="15.75" customHeight="1" x14ac:dyDescent="0.35">
      <c r="A208" s="3">
        <v>207</v>
      </c>
      <c r="B208" s="3">
        <v>33</v>
      </c>
      <c r="C208" s="5" t="s">
        <v>1088</v>
      </c>
      <c r="D208" s="3" t="s">
        <v>1089</v>
      </c>
      <c r="E208" s="3" t="s">
        <v>922</v>
      </c>
      <c r="F208" s="3" t="s">
        <v>1090</v>
      </c>
    </row>
    <row r="209" spans="1:6" ht="15.75" customHeight="1" x14ac:dyDescent="0.35">
      <c r="A209" s="3">
        <v>208</v>
      </c>
      <c r="B209" s="3">
        <v>33</v>
      </c>
      <c r="C209" s="5" t="s">
        <v>1091</v>
      </c>
      <c r="D209" s="3" t="s">
        <v>1092</v>
      </c>
      <c r="E209" s="3" t="s">
        <v>922</v>
      </c>
      <c r="F209" s="3" t="s">
        <v>1093</v>
      </c>
    </row>
    <row r="210" spans="1:6" ht="15.75" customHeight="1" x14ac:dyDescent="0.35">
      <c r="A210" s="3">
        <v>209</v>
      </c>
      <c r="B210" s="3">
        <v>33</v>
      </c>
      <c r="C210" s="5" t="s">
        <v>1094</v>
      </c>
      <c r="D210" s="3" t="s">
        <v>1095</v>
      </c>
      <c r="E210" s="3" t="s">
        <v>922</v>
      </c>
      <c r="F210" s="3" t="s">
        <v>1096</v>
      </c>
    </row>
    <row r="211" spans="1:6" ht="15.75" customHeight="1" x14ac:dyDescent="0.35">
      <c r="A211" s="3">
        <v>210</v>
      </c>
      <c r="B211" s="3">
        <v>33</v>
      </c>
      <c r="C211" s="5" t="s">
        <v>1097</v>
      </c>
      <c r="D211" s="3" t="s">
        <v>1098</v>
      </c>
      <c r="E211" s="3" t="s">
        <v>922</v>
      </c>
      <c r="F211" s="3" t="s">
        <v>1099</v>
      </c>
    </row>
    <row r="212" spans="1:6" ht="15.75" customHeight="1" x14ac:dyDescent="0.35">
      <c r="A212" s="3">
        <v>211</v>
      </c>
      <c r="B212" s="3">
        <v>33</v>
      </c>
      <c r="C212" s="5" t="s">
        <v>1100</v>
      </c>
      <c r="D212" s="3" t="s">
        <v>1101</v>
      </c>
      <c r="E212" s="3" t="s">
        <v>1102</v>
      </c>
      <c r="F212" s="3" t="s">
        <v>1103</v>
      </c>
    </row>
    <row r="213" spans="1:6" ht="15.75" customHeight="1" x14ac:dyDescent="0.35">
      <c r="A213" s="3">
        <v>212</v>
      </c>
      <c r="B213" s="3">
        <v>33</v>
      </c>
      <c r="C213" s="5" t="s">
        <v>1104</v>
      </c>
      <c r="D213" s="3" t="s">
        <v>1105</v>
      </c>
      <c r="E213" s="3" t="s">
        <v>922</v>
      </c>
      <c r="F213" s="3" t="s">
        <v>1106</v>
      </c>
    </row>
    <row r="214" spans="1:6" ht="15.75" customHeight="1" x14ac:dyDescent="0.35">
      <c r="A214" s="3">
        <v>213</v>
      </c>
      <c r="B214" s="3">
        <v>33</v>
      </c>
      <c r="C214" s="5" t="s">
        <v>1107</v>
      </c>
      <c r="D214" s="3" t="s">
        <v>1108</v>
      </c>
      <c r="E214" s="3" t="s">
        <v>922</v>
      </c>
      <c r="F214" s="3" t="s">
        <v>1109</v>
      </c>
    </row>
    <row r="215" spans="1:6" ht="15.75" customHeight="1" x14ac:dyDescent="0.35">
      <c r="A215" s="3">
        <v>214</v>
      </c>
      <c r="B215" s="3">
        <v>34</v>
      </c>
      <c r="C215" s="5" t="s">
        <v>1110</v>
      </c>
      <c r="D215" s="3" t="s">
        <v>1111</v>
      </c>
      <c r="E215" s="3" t="s">
        <v>922</v>
      </c>
      <c r="F215" s="3" t="s">
        <v>1112</v>
      </c>
    </row>
    <row r="216" spans="1:6" ht="15.75" customHeight="1" x14ac:dyDescent="0.35">
      <c r="A216" s="3">
        <v>215</v>
      </c>
      <c r="B216" s="3">
        <v>34</v>
      </c>
      <c r="C216" s="5" t="s">
        <v>1113</v>
      </c>
      <c r="D216" s="3" t="s">
        <v>1114</v>
      </c>
      <c r="E216" s="3" t="s">
        <v>922</v>
      </c>
      <c r="F216" s="3" t="s">
        <v>1115</v>
      </c>
    </row>
    <row r="217" spans="1:6" ht="15.75" customHeight="1" x14ac:dyDescent="0.35">
      <c r="A217" s="3">
        <v>216</v>
      </c>
      <c r="B217" s="3">
        <v>34</v>
      </c>
      <c r="C217" s="5" t="s">
        <v>1116</v>
      </c>
      <c r="D217" s="3" t="s">
        <v>1117</v>
      </c>
      <c r="E217" s="3" t="s">
        <v>922</v>
      </c>
      <c r="F217" s="3" t="s">
        <v>1118</v>
      </c>
    </row>
    <row r="218" spans="1:6" ht="15.75" customHeight="1" x14ac:dyDescent="0.35">
      <c r="A218" s="3">
        <v>217</v>
      </c>
      <c r="B218" s="3">
        <v>34</v>
      </c>
      <c r="C218" s="5" t="s">
        <v>1119</v>
      </c>
      <c r="D218" s="3" t="s">
        <v>1120</v>
      </c>
      <c r="E218" s="3" t="s">
        <v>911</v>
      </c>
      <c r="F218" s="3" t="s">
        <v>1121</v>
      </c>
    </row>
    <row r="219" spans="1:6" ht="15.75" customHeight="1" x14ac:dyDescent="0.35">
      <c r="A219" s="3">
        <v>218</v>
      </c>
      <c r="B219" s="3">
        <v>34</v>
      </c>
      <c r="C219" s="5" t="s">
        <v>1122</v>
      </c>
      <c r="D219" s="3" t="s">
        <v>1123</v>
      </c>
      <c r="E219" s="3" t="s">
        <v>922</v>
      </c>
      <c r="F219" s="3" t="s">
        <v>1124</v>
      </c>
    </row>
    <row r="220" spans="1:6" ht="15.75" customHeight="1" x14ac:dyDescent="0.35">
      <c r="A220" s="3">
        <v>219</v>
      </c>
      <c r="B220" s="3">
        <v>34</v>
      </c>
      <c r="C220" s="5" t="s">
        <v>1125</v>
      </c>
      <c r="D220" s="3" t="s">
        <v>1126</v>
      </c>
      <c r="E220" s="3" t="s">
        <v>911</v>
      </c>
      <c r="F220" s="3" t="s">
        <v>1127</v>
      </c>
    </row>
    <row r="221" spans="1:6" ht="15.75" customHeight="1" x14ac:dyDescent="0.35">
      <c r="A221" s="3">
        <v>220</v>
      </c>
      <c r="B221" s="3">
        <v>34</v>
      </c>
      <c r="C221" s="5" t="s">
        <v>1128</v>
      </c>
      <c r="D221" s="3" t="s">
        <v>1129</v>
      </c>
      <c r="E221" s="3" t="s">
        <v>911</v>
      </c>
      <c r="F221" s="3" t="s">
        <v>1130</v>
      </c>
    </row>
    <row r="222" spans="1:6" ht="15.75" customHeight="1" x14ac:dyDescent="0.35">
      <c r="A222" s="3">
        <v>221</v>
      </c>
      <c r="B222" s="3">
        <v>34</v>
      </c>
      <c r="C222" s="5" t="s">
        <v>1131</v>
      </c>
      <c r="D222" s="3" t="s">
        <v>1132</v>
      </c>
      <c r="E222" s="3" t="s">
        <v>911</v>
      </c>
      <c r="F222" s="3" t="s">
        <v>1133</v>
      </c>
    </row>
    <row r="223" spans="1:6" ht="15.75" customHeight="1" x14ac:dyDescent="0.35">
      <c r="A223" s="3">
        <v>222</v>
      </c>
      <c r="B223" s="3">
        <v>34</v>
      </c>
      <c r="C223" s="5" t="s">
        <v>1134</v>
      </c>
      <c r="D223" s="3" t="s">
        <v>1135</v>
      </c>
      <c r="E223" s="3" t="s">
        <v>911</v>
      </c>
      <c r="F223" s="3" t="s">
        <v>1136</v>
      </c>
    </row>
    <row r="224" spans="1:6" ht="15.75" customHeight="1" x14ac:dyDescent="0.35">
      <c r="A224" s="3">
        <v>223</v>
      </c>
      <c r="B224" s="3">
        <v>34</v>
      </c>
      <c r="C224" s="5" t="s">
        <v>1137</v>
      </c>
      <c r="D224" s="3" t="s">
        <v>1138</v>
      </c>
      <c r="E224" s="3" t="s">
        <v>922</v>
      </c>
      <c r="F224" s="3" t="s">
        <v>1139</v>
      </c>
    </row>
    <row r="225" spans="1:1" ht="15.75" customHeight="1" x14ac:dyDescent="0.3"/>
    <row r="226" spans="1:1" ht="15.75" customHeight="1" x14ac:dyDescent="0.3">
      <c r="A226" s="14" t="s">
        <v>1140</v>
      </c>
    </row>
    <row r="227" spans="1:1" ht="15.75" customHeight="1" x14ac:dyDescent="0.3"/>
    <row r="228" spans="1:1" ht="15.75" customHeight="1" x14ac:dyDescent="0.3"/>
    <row r="229" spans="1:1" ht="15.75" customHeight="1" x14ac:dyDescent="0.3"/>
    <row r="230" spans="1:1" ht="15.75" customHeight="1" x14ac:dyDescent="0.3"/>
    <row r="231" spans="1:1" ht="15.75" customHeight="1" x14ac:dyDescent="0.3"/>
    <row r="232" spans="1:1" ht="15.75" customHeight="1" x14ac:dyDescent="0.3"/>
    <row r="233" spans="1:1" ht="15.75" customHeight="1" x14ac:dyDescent="0.3"/>
    <row r="234" spans="1:1" ht="15.75" customHeight="1" x14ac:dyDescent="0.3"/>
    <row r="235" spans="1:1" ht="15.75" customHeight="1" x14ac:dyDescent="0.3"/>
    <row r="236" spans="1:1" ht="15.75" customHeight="1" x14ac:dyDescent="0.3"/>
    <row r="237" spans="1:1" ht="15.75" customHeight="1" x14ac:dyDescent="0.3"/>
    <row r="238" spans="1:1" ht="15.75" customHeight="1" x14ac:dyDescent="0.3"/>
    <row r="239" spans="1:1" ht="15.75" customHeight="1" x14ac:dyDescent="0.3"/>
    <row r="240" spans="1:1"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4">
    <dataValidation type="list" allowBlank="1" showDropDown="1" showErrorMessage="1" sqref="E2:E224" xr:uid="{00000000-0002-0000-0200-000000000000}">
      <formula1>"Động từ,Số từ,Danh từ,Danh từ riêng,Lượng từ,Phó từ,Tính từ,Trợ từ,Đại từ,Giới từ,Liên từ,?/?/?,Thán từ,Động,Trợ,Tính,Danh,Số,Giới,Phó,Đại,Cụm,Lượng,Tiền"</formula1>
    </dataValidation>
    <dataValidation type="custom" allowBlank="1" showDropDown="1" sqref="A2:B224" xr:uid="{00000000-0002-0000-0200-000001000000}">
      <formula1>AND(ISNUMBER(A2),(NOT(OR(NOT(ISERROR(DATEVALUE(A2))), AND(ISNUMBER(A2), LEFT(CELL("format", A2))="D")))))</formula1>
    </dataValidation>
    <dataValidation type="list" allowBlank="1" showDropDown="1" showErrorMessage="1" sqref="C2:C224" xr:uid="{00000000-0002-0000-0200-000002000000}">
      <formula1>"爱,八,爸爸,杯子,北京,本,不,菜,茶,吃,出租车,大,的,点,电脑,电视,电影,东西,都,对,多,多少,儿子,二,饭店,飞机,分钟,高兴,个,给,跟,工作,国,孩子,还,好,喝,和,很,红,后,会,家,叫,今天,九,开,看,看见,块,来,老师,了,冷,里,零,六,妈妈,吗,买,卖,没,没关系,米饭,名字,明天,哪,那,呢,能,你,年,女儿,朋友,漂亮,苹果,七,钱,前,请,去,热,人,认识,三,商店,上,少,谁,什么,十,时候,是,书,水,水果,睡觉,说,四,岁,他,她,太,天气,听,同学,喂,我,我"&amp;"们,五,喜欢,下,先生,现在,想,小,小姐,小时,写,谢谢,星期,学生,学习,学校,一,衣服,医生,医院,已经,意思,有,月,在,怎么,怎么样,这,中国,中午,住,准备,桌子,字,自行车,走,最,昨天,坐,做,左,爱好,吧,白,白天,百,班,半,半年,半天,帮,帮忙,包,包子,杯,北,北边,本子,比,别,别的,别人,病,病人,不大,不对,不客气,不用,差,常,尝尝,唱,唱歌,车,车票,车上,车站,吃饭,出,出来,出去,穿,床,次,从,错,打,打车,打电话,打开,打球,大学,大学生,到,得到,地,等,地点,"&amp;"地方,地上,地图,弟弟,第,电,电话,电影院,东,东边,动,动作,读,读书,对不起,饿,饭"</formula1>
    </dataValidation>
    <dataValidation type="list" allowBlank="1" showDropDown="1" showErrorMessage="1" sqref="D2:D224" xr:uid="{00000000-0002-0000-0200-000003000000}">
      <formula1>"ài,bā,bàba,bēizi,běijīng,běn,bù,cài,chá,chī,chūzūchē,dà,de,diǎn,diànnǎo,diànshì,diànyǐng,dōngxi,dōu,duì,duō,duōshao,érzi,èr,fàndiàn,fēijī,fēnzhōng,gāoxìng,gè,gěi,gēn,gōngzuò,guó,háizi,hái,hǎo,hē,hé,hěn,hóng,hòu,huì,jiā,jiào,jīntiān,jiǔ,kāi,kàn,kànjiàn,kuà"&amp;"i,lái,lǎoshī,le,lěng,lǐ,líng,liù,māma,ma,mǎi,mài,méi,méiguānxi,mǐfàn,míngzi,míngtiān,nǎ,nà,ne,néng,nǐ,nián,nǚ'ér,péngyou,piàoliang,píngguǒ,qī,qián,qǐng,qù,rè,rén,rènshi,sān,shāngdiàn,shàng,shǎo,shéi,shénme,shí,shíhou,shì,shū,shuǐ,shuǐguǒ,shuìjiào,shuō,sì,"&amp;"suì,tā,tài,tiānqì,tīng,tóngxué,wèi,wǒ,wǒmen,wǔ,xǐhuān,xià,xiānsheng,xiànzài,xiǎng,xiǎo,xiǎojiě,xiǎoshí,xiě,xièxie,xīngqī,xuéshēng,xuéxí,xuéxiào,yī,yīfu,yīshēng,yīyuàn,yǐjīng,yìsi,yǒu,yuè,zài,zěnme,zěnmeyàng,zhè,zhōngguó,zhōngwǔ,zhù,zhǔnbèi,zhuōzi,zì,zìxín"&amp;"gchē,zǒu,zuì,zuótiān,zuò,zuǒ,àihào,ba,bái,báitiān,bǎi,bān,bàn,bànnián,bàntiān,bāng,bāngmáng,bāo,bāozǐ,bēi,běi,běibian,běnzǐ,bǐ,bié,biéde,biérén,bìng,bìngrén,bùdà,bùduì,búkèqi,búyòng,chà,cháng,chángcháng,chàng,chànggē,chē,chēpiào,chēshàng,chēzhàn,chīfàn,ch"&amp;"ū,chūlái,chūqù,chuān,chuáng,cì,cóng,cuò,dǎ,dǎchē,dǎdiànhuà,dǎkāi,dǎqiú,dàxué,dàxuéshēng,dào,dédào,děng,dìdiǎn,dìfāng,dìshàng,dìtú,dìdi,dì,diàn,diànhuà,diànyǐngyuàn,dōng,dōngbian,dòng,dòngzuò,dú,dúshū,duìbuqǐ,è,fàn"</formula1>
    </dataValidation>
  </dataValidations>
  <pageMargins left="0.75" right="0.75" top="1" bottom="1" header="0" footer="0"/>
  <pageSetup paperSize="9" orientation="portrait"/>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4.44140625" defaultRowHeight="15" customHeight="1" x14ac:dyDescent="0.3"/>
  <cols>
    <col min="1" max="1" width="6" customWidth="1"/>
    <col min="2" max="2" width="10" customWidth="1"/>
    <col min="3" max="3" width="12" customWidth="1"/>
    <col min="4" max="4" width="16" customWidth="1"/>
    <col min="5" max="5" width="20" customWidth="1"/>
    <col min="6" max="6" width="30" customWidth="1"/>
    <col min="7" max="26" width="8.6640625" customWidth="1"/>
  </cols>
  <sheetData>
    <row r="1" spans="1:6" ht="14.4" x14ac:dyDescent="0.3">
      <c r="A1" s="2" t="s">
        <v>450</v>
      </c>
      <c r="B1" s="2" t="s">
        <v>451</v>
      </c>
      <c r="C1" s="2" t="s">
        <v>452</v>
      </c>
      <c r="D1" s="2" t="s">
        <v>453</v>
      </c>
      <c r="E1" s="2" t="s">
        <v>454</v>
      </c>
      <c r="F1" s="2" t="s">
        <v>455</v>
      </c>
    </row>
    <row r="2" spans="1:6" x14ac:dyDescent="0.35">
      <c r="A2" s="3">
        <v>1</v>
      </c>
      <c r="B2" s="3">
        <v>36</v>
      </c>
      <c r="C2" s="5" t="s">
        <v>913</v>
      </c>
      <c r="D2" s="3" t="s">
        <v>719</v>
      </c>
      <c r="E2" s="3" t="s">
        <v>500</v>
      </c>
      <c r="F2" s="3" t="s">
        <v>1141</v>
      </c>
    </row>
    <row r="3" spans="1:6" x14ac:dyDescent="0.35">
      <c r="A3" s="3">
        <v>2</v>
      </c>
      <c r="B3" s="3">
        <v>36</v>
      </c>
      <c r="C3" s="5" t="s">
        <v>924</v>
      </c>
      <c r="D3" s="3" t="s">
        <v>925</v>
      </c>
      <c r="E3" s="3" t="s">
        <v>6</v>
      </c>
      <c r="F3" s="3" t="s">
        <v>1142</v>
      </c>
    </row>
    <row r="4" spans="1:6" x14ac:dyDescent="0.35">
      <c r="A4" s="3">
        <v>3</v>
      </c>
      <c r="B4" s="3">
        <v>36</v>
      </c>
      <c r="C4" s="5" t="s">
        <v>1143</v>
      </c>
      <c r="D4" s="3" t="s">
        <v>1144</v>
      </c>
      <c r="E4" s="3" t="s">
        <v>458</v>
      </c>
      <c r="F4" s="3" t="s">
        <v>1145</v>
      </c>
    </row>
    <row r="5" spans="1:6" x14ac:dyDescent="0.35">
      <c r="A5" s="3">
        <v>4</v>
      </c>
      <c r="B5" s="3">
        <v>36</v>
      </c>
      <c r="C5" s="5" t="s">
        <v>1146</v>
      </c>
      <c r="D5" s="3" t="s">
        <v>1147</v>
      </c>
      <c r="E5" s="3" t="s">
        <v>465</v>
      </c>
      <c r="F5" s="3" t="s">
        <v>1148</v>
      </c>
    </row>
    <row r="6" spans="1:6" x14ac:dyDescent="0.35">
      <c r="A6" s="3">
        <v>5</v>
      </c>
      <c r="B6" s="3">
        <v>36</v>
      </c>
      <c r="C6" s="5" t="s">
        <v>964</v>
      </c>
      <c r="D6" s="3" t="s">
        <v>965</v>
      </c>
      <c r="E6" s="3" t="s">
        <v>458</v>
      </c>
      <c r="F6" s="3" t="s">
        <v>1149</v>
      </c>
    </row>
    <row r="7" spans="1:6" x14ac:dyDescent="0.35">
      <c r="A7" s="3">
        <v>6</v>
      </c>
      <c r="B7" s="3">
        <v>36</v>
      </c>
      <c r="C7" s="5" t="s">
        <v>968</v>
      </c>
      <c r="D7" s="3" t="s">
        <v>969</v>
      </c>
      <c r="E7" s="3" t="s">
        <v>480</v>
      </c>
      <c r="F7" s="3" t="s">
        <v>1150</v>
      </c>
    </row>
    <row r="8" spans="1:6" x14ac:dyDescent="0.35">
      <c r="A8" s="3">
        <v>7</v>
      </c>
      <c r="B8" s="3">
        <v>36</v>
      </c>
      <c r="C8" s="5" t="s">
        <v>1001</v>
      </c>
      <c r="D8" s="3" t="s">
        <v>1002</v>
      </c>
      <c r="E8" s="3" t="s">
        <v>480</v>
      </c>
      <c r="F8" s="3" t="s">
        <v>1151</v>
      </c>
    </row>
    <row r="9" spans="1:6" x14ac:dyDescent="0.35">
      <c r="A9" s="3">
        <v>8</v>
      </c>
      <c r="B9" s="3">
        <v>36</v>
      </c>
      <c r="C9" s="5" t="s">
        <v>1010</v>
      </c>
      <c r="D9" s="3" t="s">
        <v>1011</v>
      </c>
      <c r="E9" s="3" t="s">
        <v>458</v>
      </c>
      <c r="F9" s="3" t="s">
        <v>1152</v>
      </c>
    </row>
    <row r="10" spans="1:6" x14ac:dyDescent="0.35">
      <c r="A10" s="3">
        <v>9</v>
      </c>
      <c r="B10" s="3">
        <v>37</v>
      </c>
      <c r="C10" s="5" t="s">
        <v>1037</v>
      </c>
      <c r="D10" s="3" t="s">
        <v>1038</v>
      </c>
      <c r="E10" s="3" t="s">
        <v>458</v>
      </c>
      <c r="F10" s="3" t="s">
        <v>1153</v>
      </c>
    </row>
    <row r="11" spans="1:6" x14ac:dyDescent="0.35">
      <c r="A11" s="3">
        <v>10</v>
      </c>
      <c r="B11" s="3">
        <v>37</v>
      </c>
      <c r="C11" s="5" t="s">
        <v>1050</v>
      </c>
      <c r="D11" s="3" t="s">
        <v>1051</v>
      </c>
      <c r="E11" s="3" t="s">
        <v>496</v>
      </c>
      <c r="F11" s="3" t="s">
        <v>1154</v>
      </c>
    </row>
    <row r="12" spans="1:6" x14ac:dyDescent="0.35">
      <c r="A12" s="3">
        <v>11</v>
      </c>
      <c r="B12" s="3">
        <v>37</v>
      </c>
      <c r="C12" s="5" t="s">
        <v>1155</v>
      </c>
      <c r="D12" s="3" t="s">
        <v>1156</v>
      </c>
      <c r="E12" s="3" t="s">
        <v>458</v>
      </c>
      <c r="F12" s="3" t="s">
        <v>1157</v>
      </c>
    </row>
    <row r="13" spans="1:6" x14ac:dyDescent="0.35">
      <c r="A13" s="3">
        <v>12</v>
      </c>
      <c r="B13" s="3">
        <v>37</v>
      </c>
      <c r="C13" s="5" t="s">
        <v>1074</v>
      </c>
      <c r="D13" s="3" t="s">
        <v>1075</v>
      </c>
      <c r="E13" s="3" t="s">
        <v>458</v>
      </c>
      <c r="F13" s="3" t="s">
        <v>618</v>
      </c>
    </row>
    <row r="14" spans="1:6" x14ac:dyDescent="0.35">
      <c r="A14" s="3">
        <v>13</v>
      </c>
      <c r="B14" s="3">
        <v>37</v>
      </c>
      <c r="C14" s="5" t="s">
        <v>1158</v>
      </c>
      <c r="D14" s="3" t="s">
        <v>499</v>
      </c>
      <c r="E14" s="3" t="s">
        <v>500</v>
      </c>
      <c r="F14" s="3" t="s">
        <v>1159</v>
      </c>
    </row>
    <row r="15" spans="1:6" x14ac:dyDescent="0.35">
      <c r="A15" s="3">
        <v>14</v>
      </c>
      <c r="B15" s="3">
        <v>37</v>
      </c>
      <c r="C15" s="5" t="s">
        <v>1082</v>
      </c>
      <c r="D15" s="3" t="s">
        <v>1083</v>
      </c>
      <c r="E15" s="3" t="s">
        <v>458</v>
      </c>
      <c r="F15" s="3" t="s">
        <v>1160</v>
      </c>
    </row>
    <row r="16" spans="1:6" x14ac:dyDescent="0.35">
      <c r="A16" s="3">
        <v>15</v>
      </c>
      <c r="B16" s="3">
        <v>37</v>
      </c>
      <c r="C16" s="5" t="s">
        <v>1097</v>
      </c>
      <c r="D16" s="3" t="s">
        <v>1098</v>
      </c>
      <c r="E16" s="3" t="s">
        <v>465</v>
      </c>
      <c r="F16" s="3" t="s">
        <v>1161</v>
      </c>
    </row>
    <row r="17" spans="1:6" x14ac:dyDescent="0.35">
      <c r="A17" s="3">
        <v>16</v>
      </c>
      <c r="B17" s="3">
        <v>37</v>
      </c>
      <c r="C17" s="5" t="s">
        <v>1162</v>
      </c>
      <c r="D17" s="3" t="s">
        <v>1163</v>
      </c>
      <c r="E17" s="3" t="s">
        <v>465</v>
      </c>
      <c r="F17" s="3" t="s">
        <v>1164</v>
      </c>
    </row>
    <row r="18" spans="1:6" x14ac:dyDescent="0.35">
      <c r="A18" s="3">
        <v>17</v>
      </c>
      <c r="B18" s="3">
        <v>38</v>
      </c>
      <c r="C18" s="5" t="s">
        <v>1165</v>
      </c>
      <c r="D18" s="3" t="s">
        <v>1166</v>
      </c>
      <c r="E18" s="3" t="s">
        <v>458</v>
      </c>
      <c r="F18" s="3" t="s">
        <v>1167</v>
      </c>
    </row>
    <row r="19" spans="1:6" x14ac:dyDescent="0.35">
      <c r="A19" s="3">
        <v>18</v>
      </c>
      <c r="B19" s="3">
        <v>38</v>
      </c>
      <c r="C19" s="5" t="s">
        <v>1131</v>
      </c>
      <c r="D19" s="3" t="s">
        <v>1132</v>
      </c>
      <c r="E19" s="3" t="s">
        <v>654</v>
      </c>
      <c r="F19" s="3" t="s">
        <v>1168</v>
      </c>
    </row>
    <row r="20" spans="1:6" x14ac:dyDescent="0.35">
      <c r="A20" s="3">
        <v>19</v>
      </c>
      <c r="B20" s="3">
        <v>38</v>
      </c>
      <c r="C20" s="5" t="s">
        <v>1169</v>
      </c>
      <c r="D20" s="3" t="s">
        <v>1170</v>
      </c>
      <c r="E20" s="3" t="s">
        <v>465</v>
      </c>
      <c r="F20" s="3" t="s">
        <v>1171</v>
      </c>
    </row>
    <row r="21" spans="1:6" ht="15.75" customHeight="1" x14ac:dyDescent="0.35">
      <c r="A21" s="3">
        <v>20</v>
      </c>
      <c r="B21" s="3">
        <v>38</v>
      </c>
      <c r="C21" s="5" t="s">
        <v>1172</v>
      </c>
      <c r="D21" s="3" t="s">
        <v>1173</v>
      </c>
      <c r="E21" s="3" t="s">
        <v>480</v>
      </c>
      <c r="F21" s="3" t="s">
        <v>582</v>
      </c>
    </row>
    <row r="22" spans="1:6" ht="15.75" customHeight="1" x14ac:dyDescent="0.35">
      <c r="A22" s="3">
        <v>21</v>
      </c>
      <c r="B22" s="3">
        <v>38</v>
      </c>
      <c r="C22" s="5" t="s">
        <v>1174</v>
      </c>
      <c r="D22" s="3" t="s">
        <v>1175</v>
      </c>
      <c r="E22" s="3" t="s">
        <v>465</v>
      </c>
      <c r="F22" s="3" t="s">
        <v>1176</v>
      </c>
    </row>
    <row r="23" spans="1:6" ht="15.75" customHeight="1" x14ac:dyDescent="0.35">
      <c r="A23" s="3">
        <v>22</v>
      </c>
      <c r="B23" s="3">
        <v>38</v>
      </c>
      <c r="C23" s="5" t="s">
        <v>1177</v>
      </c>
      <c r="D23" s="3" t="s">
        <v>1178</v>
      </c>
      <c r="E23" s="3" t="s">
        <v>496</v>
      </c>
      <c r="F23" s="3" t="s">
        <v>1179</v>
      </c>
    </row>
    <row r="24" spans="1:6" ht="15.75" customHeight="1" x14ac:dyDescent="0.35">
      <c r="A24" s="3">
        <v>23</v>
      </c>
      <c r="B24" s="3">
        <v>38</v>
      </c>
      <c r="C24" s="5" t="s">
        <v>1180</v>
      </c>
      <c r="D24" s="3" t="s">
        <v>1181</v>
      </c>
      <c r="E24" s="3" t="s">
        <v>458</v>
      </c>
      <c r="F24" s="3" t="s">
        <v>1182</v>
      </c>
    </row>
    <row r="25" spans="1:6" ht="15.75" customHeight="1" x14ac:dyDescent="0.35">
      <c r="A25" s="3">
        <v>24</v>
      </c>
      <c r="B25" s="3">
        <v>38</v>
      </c>
      <c r="C25" s="5" t="s">
        <v>1183</v>
      </c>
      <c r="D25" s="3" t="s">
        <v>1184</v>
      </c>
      <c r="E25" s="3" t="s">
        <v>465</v>
      </c>
      <c r="F25" s="3" t="s">
        <v>1185</v>
      </c>
    </row>
    <row r="26" spans="1:6" ht="15.75" customHeight="1" x14ac:dyDescent="0.35">
      <c r="A26" s="3">
        <v>25</v>
      </c>
      <c r="B26" s="3">
        <v>39</v>
      </c>
      <c r="C26" s="5" t="s">
        <v>1186</v>
      </c>
      <c r="D26" s="3" t="s">
        <v>1187</v>
      </c>
      <c r="E26" s="3" t="s">
        <v>465</v>
      </c>
      <c r="F26" s="3" t="s">
        <v>1188</v>
      </c>
    </row>
    <row r="27" spans="1:6" ht="15.75" customHeight="1" x14ac:dyDescent="0.35">
      <c r="A27" s="3">
        <v>26</v>
      </c>
      <c r="B27" s="3">
        <v>39</v>
      </c>
      <c r="C27" s="5" t="s">
        <v>1189</v>
      </c>
      <c r="D27" s="3" t="s">
        <v>1190</v>
      </c>
      <c r="E27" s="3" t="s">
        <v>496</v>
      </c>
      <c r="F27" s="3" t="s">
        <v>1191</v>
      </c>
    </row>
    <row r="28" spans="1:6" ht="15.75" customHeight="1" x14ac:dyDescent="0.35">
      <c r="A28" s="3">
        <v>27</v>
      </c>
      <c r="B28" s="3">
        <v>39</v>
      </c>
      <c r="C28" s="5" t="s">
        <v>1192</v>
      </c>
      <c r="D28" s="3" t="s">
        <v>1193</v>
      </c>
      <c r="E28" s="3" t="s">
        <v>500</v>
      </c>
      <c r="F28" s="3" t="s">
        <v>1194</v>
      </c>
    </row>
    <row r="29" spans="1:6" ht="15.75" customHeight="1" x14ac:dyDescent="0.35">
      <c r="A29" s="3">
        <v>28</v>
      </c>
      <c r="B29" s="3">
        <v>39</v>
      </c>
      <c r="C29" s="5" t="s">
        <v>1195</v>
      </c>
      <c r="D29" s="3" t="s">
        <v>1196</v>
      </c>
      <c r="E29" s="3" t="s">
        <v>496</v>
      </c>
      <c r="F29" s="3" t="s">
        <v>1197</v>
      </c>
    </row>
    <row r="30" spans="1:6" ht="15.75" customHeight="1" x14ac:dyDescent="0.35">
      <c r="A30" s="3">
        <v>29</v>
      </c>
      <c r="B30" s="3">
        <v>39</v>
      </c>
      <c r="C30" s="5" t="s">
        <v>1198</v>
      </c>
      <c r="D30" s="3" t="s">
        <v>1199</v>
      </c>
      <c r="E30" s="3" t="s">
        <v>496</v>
      </c>
      <c r="F30" s="3" t="s">
        <v>1200</v>
      </c>
    </row>
    <row r="31" spans="1:6" ht="15.75" customHeight="1" x14ac:dyDescent="0.35">
      <c r="A31" s="3">
        <v>30</v>
      </c>
      <c r="B31" s="3">
        <v>39</v>
      </c>
      <c r="C31" s="5" t="s">
        <v>1201</v>
      </c>
      <c r="D31" s="3" t="s">
        <v>1202</v>
      </c>
      <c r="E31" s="3" t="s">
        <v>465</v>
      </c>
      <c r="F31" s="3" t="s">
        <v>1203</v>
      </c>
    </row>
    <row r="32" spans="1:6" ht="15.75" customHeight="1" x14ac:dyDescent="0.35">
      <c r="A32" s="3">
        <v>31</v>
      </c>
      <c r="B32" s="3">
        <v>39</v>
      </c>
      <c r="C32" s="5" t="s">
        <v>1204</v>
      </c>
      <c r="D32" s="3" t="s">
        <v>1205</v>
      </c>
      <c r="E32" s="3" t="s">
        <v>458</v>
      </c>
      <c r="F32" s="3" t="s">
        <v>1206</v>
      </c>
    </row>
    <row r="33" spans="1:6" ht="15.75" customHeight="1" x14ac:dyDescent="0.35">
      <c r="A33" s="3">
        <v>32</v>
      </c>
      <c r="B33" s="3">
        <v>39</v>
      </c>
      <c r="C33" s="5" t="s">
        <v>1207</v>
      </c>
      <c r="D33" s="3" t="s">
        <v>1208</v>
      </c>
      <c r="E33" s="3" t="s">
        <v>458</v>
      </c>
      <c r="F33" s="3" t="s">
        <v>1209</v>
      </c>
    </row>
    <row r="34" spans="1:6" ht="15.75" customHeight="1" x14ac:dyDescent="0.35">
      <c r="A34" s="3">
        <v>33</v>
      </c>
      <c r="B34" s="3">
        <v>40</v>
      </c>
      <c r="C34" s="5" t="s">
        <v>1210</v>
      </c>
      <c r="D34" s="3" t="s">
        <v>1211</v>
      </c>
      <c r="E34" s="3" t="s">
        <v>465</v>
      </c>
      <c r="F34" s="3" t="s">
        <v>1212</v>
      </c>
    </row>
    <row r="35" spans="1:6" ht="15.75" customHeight="1" x14ac:dyDescent="0.35">
      <c r="A35" s="3">
        <v>34</v>
      </c>
      <c r="B35" s="3">
        <v>40</v>
      </c>
      <c r="C35" s="5" t="s">
        <v>1213</v>
      </c>
      <c r="D35" s="3" t="s">
        <v>1214</v>
      </c>
      <c r="E35" s="3" t="s">
        <v>465</v>
      </c>
      <c r="F35" s="3" t="s">
        <v>1215</v>
      </c>
    </row>
    <row r="36" spans="1:6" ht="15.75" customHeight="1" x14ac:dyDescent="0.35">
      <c r="A36" s="3">
        <v>35</v>
      </c>
      <c r="B36" s="3">
        <v>40</v>
      </c>
      <c r="C36" s="5" t="s">
        <v>1216</v>
      </c>
      <c r="D36" s="3" t="s">
        <v>1217</v>
      </c>
      <c r="E36" s="3" t="s">
        <v>465</v>
      </c>
      <c r="F36" s="3" t="s">
        <v>1218</v>
      </c>
    </row>
    <row r="37" spans="1:6" ht="15.75" customHeight="1" x14ac:dyDescent="0.35">
      <c r="A37" s="3">
        <v>36</v>
      </c>
      <c r="B37" s="3">
        <v>40</v>
      </c>
      <c r="C37" s="5" t="s">
        <v>1219</v>
      </c>
      <c r="D37" s="3" t="s">
        <v>1220</v>
      </c>
      <c r="E37" s="3" t="s">
        <v>528</v>
      </c>
      <c r="F37" s="3" t="s">
        <v>1221</v>
      </c>
    </row>
    <row r="38" spans="1:6" ht="15.75" customHeight="1" x14ac:dyDescent="0.35">
      <c r="A38" s="3">
        <v>37</v>
      </c>
      <c r="B38" s="3">
        <v>40</v>
      </c>
      <c r="C38" s="5" t="s">
        <v>1222</v>
      </c>
      <c r="D38" s="3" t="s">
        <v>1223</v>
      </c>
      <c r="E38" s="3" t="s">
        <v>476</v>
      </c>
      <c r="F38" s="3" t="s">
        <v>1224</v>
      </c>
    </row>
    <row r="39" spans="1:6" ht="15.75" customHeight="1" x14ac:dyDescent="0.35">
      <c r="A39" s="3">
        <v>38</v>
      </c>
      <c r="B39" s="3">
        <v>40</v>
      </c>
      <c r="C39" s="5" t="s">
        <v>1225</v>
      </c>
      <c r="D39" s="3" t="s">
        <v>1226</v>
      </c>
      <c r="E39" s="3" t="s">
        <v>458</v>
      </c>
      <c r="F39" s="3" t="s">
        <v>1227</v>
      </c>
    </row>
    <row r="40" spans="1:6" ht="15.75" customHeight="1" x14ac:dyDescent="0.35">
      <c r="A40" s="3">
        <v>39</v>
      </c>
      <c r="B40" s="3">
        <v>40</v>
      </c>
      <c r="C40" s="5" t="s">
        <v>1228</v>
      </c>
      <c r="D40" s="3" t="s">
        <v>1226</v>
      </c>
      <c r="E40" s="3" t="s">
        <v>496</v>
      </c>
      <c r="F40" s="3" t="s">
        <v>1229</v>
      </c>
    </row>
    <row r="41" spans="1:6" ht="15.75" customHeight="1" x14ac:dyDescent="0.35">
      <c r="A41" s="3">
        <v>40</v>
      </c>
      <c r="B41" s="3">
        <v>40</v>
      </c>
      <c r="C41" s="5" t="s">
        <v>1230</v>
      </c>
      <c r="D41" s="3" t="s">
        <v>1231</v>
      </c>
      <c r="E41" s="3" t="s">
        <v>480</v>
      </c>
      <c r="F41" s="3" t="s">
        <v>1232</v>
      </c>
    </row>
    <row r="42" spans="1:6" ht="15.75" customHeight="1" x14ac:dyDescent="0.35">
      <c r="A42" s="3">
        <v>41</v>
      </c>
      <c r="B42" s="3">
        <v>41</v>
      </c>
      <c r="C42" s="5" t="s">
        <v>1233</v>
      </c>
      <c r="D42" s="3" t="s">
        <v>1234</v>
      </c>
      <c r="E42" s="3" t="s">
        <v>458</v>
      </c>
      <c r="F42" s="3" t="s">
        <v>1235</v>
      </c>
    </row>
    <row r="43" spans="1:6" ht="15.75" customHeight="1" x14ac:dyDescent="0.35">
      <c r="A43" s="3">
        <v>42</v>
      </c>
      <c r="B43" s="3">
        <v>41</v>
      </c>
      <c r="C43" s="5" t="s">
        <v>1236</v>
      </c>
      <c r="D43" s="3" t="s">
        <v>1237</v>
      </c>
      <c r="E43" s="3" t="s">
        <v>465</v>
      </c>
      <c r="F43" s="3" t="s">
        <v>1238</v>
      </c>
    </row>
    <row r="44" spans="1:6" ht="15.75" customHeight="1" x14ac:dyDescent="0.35">
      <c r="A44" s="3">
        <v>43</v>
      </c>
      <c r="B44" s="3">
        <v>41</v>
      </c>
      <c r="C44" s="5" t="s">
        <v>1239</v>
      </c>
      <c r="D44" s="3" t="s">
        <v>1240</v>
      </c>
      <c r="E44" s="3" t="s">
        <v>458</v>
      </c>
      <c r="F44" s="3" t="s">
        <v>1241</v>
      </c>
    </row>
    <row r="45" spans="1:6" ht="15.75" customHeight="1" x14ac:dyDescent="0.35">
      <c r="A45" s="3">
        <v>44</v>
      </c>
      <c r="B45" s="3">
        <v>41</v>
      </c>
      <c r="C45" s="5" t="s">
        <v>1242</v>
      </c>
      <c r="D45" s="3" t="s">
        <v>1243</v>
      </c>
      <c r="E45" s="3" t="s">
        <v>465</v>
      </c>
      <c r="F45" s="3" t="s">
        <v>1244</v>
      </c>
    </row>
    <row r="46" spans="1:6" ht="15.75" customHeight="1" x14ac:dyDescent="0.35">
      <c r="A46" s="3">
        <v>45</v>
      </c>
      <c r="B46" s="3">
        <v>41</v>
      </c>
      <c r="C46" s="5" t="s">
        <v>1245</v>
      </c>
      <c r="D46" s="3" t="s">
        <v>1246</v>
      </c>
      <c r="E46" s="3" t="s">
        <v>480</v>
      </c>
      <c r="F46" s="3" t="s">
        <v>675</v>
      </c>
    </row>
    <row r="47" spans="1:6" ht="15.75" customHeight="1" x14ac:dyDescent="0.35">
      <c r="A47" s="3">
        <v>46</v>
      </c>
      <c r="B47" s="3">
        <v>41</v>
      </c>
      <c r="C47" s="5" t="s">
        <v>1247</v>
      </c>
      <c r="D47" s="3" t="s">
        <v>1248</v>
      </c>
      <c r="E47" s="3" t="s">
        <v>458</v>
      </c>
      <c r="F47" s="3" t="s">
        <v>675</v>
      </c>
    </row>
    <row r="48" spans="1:6" ht="15.75" customHeight="1" x14ac:dyDescent="0.35">
      <c r="A48" s="3">
        <v>47</v>
      </c>
      <c r="B48" s="3">
        <v>41</v>
      </c>
      <c r="C48" s="5" t="s">
        <v>1249</v>
      </c>
      <c r="D48" s="3" t="s">
        <v>1250</v>
      </c>
      <c r="E48" s="3" t="s">
        <v>465</v>
      </c>
      <c r="F48" s="3" t="s">
        <v>1251</v>
      </c>
    </row>
    <row r="49" spans="1:6" ht="15.75" customHeight="1" x14ac:dyDescent="0.35">
      <c r="A49" s="3">
        <v>48</v>
      </c>
      <c r="B49" s="3">
        <v>41</v>
      </c>
      <c r="C49" s="5" t="s">
        <v>1252</v>
      </c>
      <c r="D49" s="3" t="s">
        <v>614</v>
      </c>
      <c r="E49" s="3" t="s">
        <v>496</v>
      </c>
      <c r="F49" s="3" t="s">
        <v>1253</v>
      </c>
    </row>
    <row r="50" spans="1:6" ht="15.75" customHeight="1" x14ac:dyDescent="0.35">
      <c r="A50" s="3">
        <v>49</v>
      </c>
      <c r="B50" s="3">
        <v>43</v>
      </c>
      <c r="C50" s="5" t="s">
        <v>1254</v>
      </c>
      <c r="D50" s="3" t="s">
        <v>1255</v>
      </c>
      <c r="E50" s="3" t="s">
        <v>496</v>
      </c>
      <c r="F50" s="3" t="s">
        <v>1256</v>
      </c>
    </row>
    <row r="51" spans="1:6" ht="15.75" customHeight="1" x14ac:dyDescent="0.35">
      <c r="A51" s="3">
        <v>50</v>
      </c>
      <c r="B51" s="3">
        <v>43</v>
      </c>
      <c r="C51" s="5" t="s">
        <v>1257</v>
      </c>
      <c r="D51" s="3" t="s">
        <v>1258</v>
      </c>
      <c r="E51" s="3" t="s">
        <v>496</v>
      </c>
      <c r="F51" s="3" t="s">
        <v>1259</v>
      </c>
    </row>
    <row r="52" spans="1:6" ht="15.75" customHeight="1" x14ac:dyDescent="0.35">
      <c r="A52" s="3">
        <v>51</v>
      </c>
      <c r="B52" s="3">
        <v>43</v>
      </c>
      <c r="C52" s="5" t="s">
        <v>1260</v>
      </c>
      <c r="D52" s="3" t="s">
        <v>1261</v>
      </c>
      <c r="E52" s="3" t="s">
        <v>556</v>
      </c>
      <c r="F52" s="3" t="s">
        <v>1262</v>
      </c>
    </row>
    <row r="53" spans="1:6" ht="15.75" customHeight="1" x14ac:dyDescent="0.35">
      <c r="A53" s="3">
        <v>52</v>
      </c>
      <c r="B53" s="3">
        <v>43</v>
      </c>
      <c r="C53" s="5" t="s">
        <v>1263</v>
      </c>
      <c r="D53" s="3" t="s">
        <v>1264</v>
      </c>
      <c r="E53" s="3" t="s">
        <v>6</v>
      </c>
      <c r="F53" s="3" t="s">
        <v>535</v>
      </c>
    </row>
    <row r="54" spans="1:6" ht="15.75" customHeight="1" x14ac:dyDescent="0.35">
      <c r="A54" s="3">
        <v>53</v>
      </c>
      <c r="B54" s="3">
        <v>43</v>
      </c>
      <c r="C54" s="5" t="s">
        <v>1265</v>
      </c>
      <c r="D54" s="3" t="s">
        <v>1266</v>
      </c>
      <c r="E54" s="3" t="s">
        <v>465</v>
      </c>
      <c r="F54" s="3" t="s">
        <v>1267</v>
      </c>
    </row>
    <row r="55" spans="1:6" ht="15.75" customHeight="1" x14ac:dyDescent="0.35">
      <c r="A55" s="3">
        <v>54</v>
      </c>
      <c r="B55" s="3">
        <v>43</v>
      </c>
      <c r="C55" s="5" t="s">
        <v>1268</v>
      </c>
      <c r="D55" s="3" t="s">
        <v>1269</v>
      </c>
      <c r="E55" s="3" t="s">
        <v>458</v>
      </c>
      <c r="F55" s="3" t="s">
        <v>1270</v>
      </c>
    </row>
    <row r="56" spans="1:6" ht="15.75" customHeight="1" x14ac:dyDescent="0.35">
      <c r="A56" s="3">
        <v>55</v>
      </c>
      <c r="B56" s="3">
        <v>43</v>
      </c>
      <c r="C56" s="5" t="s">
        <v>1271</v>
      </c>
      <c r="D56" s="3" t="s">
        <v>1272</v>
      </c>
      <c r="E56" s="3" t="s">
        <v>465</v>
      </c>
      <c r="F56" s="3" t="s">
        <v>1273</v>
      </c>
    </row>
    <row r="57" spans="1:6" ht="15.75" customHeight="1" x14ac:dyDescent="0.35">
      <c r="A57" s="3">
        <v>56</v>
      </c>
      <c r="B57" s="3">
        <v>43</v>
      </c>
      <c r="C57" s="5" t="s">
        <v>1274</v>
      </c>
      <c r="D57" s="3" t="s">
        <v>1275</v>
      </c>
      <c r="E57" s="3" t="s">
        <v>528</v>
      </c>
      <c r="F57" s="3" t="s">
        <v>1276</v>
      </c>
    </row>
    <row r="58" spans="1:6" ht="15.75" customHeight="1" x14ac:dyDescent="0.35">
      <c r="A58" s="3">
        <v>57</v>
      </c>
      <c r="B58" s="3">
        <v>44</v>
      </c>
      <c r="C58" s="5" t="s">
        <v>1277</v>
      </c>
      <c r="D58" s="3" t="s">
        <v>1278</v>
      </c>
      <c r="E58" s="3" t="s">
        <v>465</v>
      </c>
      <c r="F58" s="3" t="s">
        <v>1279</v>
      </c>
    </row>
    <row r="59" spans="1:6" ht="15.75" customHeight="1" x14ac:dyDescent="0.35">
      <c r="A59" s="3">
        <v>58</v>
      </c>
      <c r="B59" s="3">
        <v>44</v>
      </c>
      <c r="C59" s="5" t="s">
        <v>1280</v>
      </c>
      <c r="D59" s="3" t="s">
        <v>1281</v>
      </c>
      <c r="E59" s="3" t="s">
        <v>465</v>
      </c>
      <c r="F59" s="3" t="s">
        <v>1282</v>
      </c>
    </row>
    <row r="60" spans="1:6" ht="15.75" customHeight="1" x14ac:dyDescent="0.35">
      <c r="A60" s="3">
        <v>59</v>
      </c>
      <c r="B60" s="3">
        <v>44</v>
      </c>
      <c r="C60" s="5" t="s">
        <v>1283</v>
      </c>
      <c r="D60" s="3" t="s">
        <v>1284</v>
      </c>
      <c r="E60" s="3" t="s">
        <v>465</v>
      </c>
      <c r="F60" s="3" t="s">
        <v>1285</v>
      </c>
    </row>
    <row r="61" spans="1:6" ht="15.75" customHeight="1" x14ac:dyDescent="0.35">
      <c r="A61" s="3">
        <v>60</v>
      </c>
      <c r="B61" s="3">
        <v>44</v>
      </c>
      <c r="C61" s="5" t="s">
        <v>1286</v>
      </c>
      <c r="D61" s="3" t="s">
        <v>1284</v>
      </c>
      <c r="E61" s="3" t="s">
        <v>496</v>
      </c>
      <c r="F61" s="3" t="s">
        <v>1287</v>
      </c>
    </row>
    <row r="62" spans="1:6" ht="15.75" customHeight="1" x14ac:dyDescent="0.35">
      <c r="A62" s="3">
        <v>61</v>
      </c>
      <c r="B62" s="3">
        <v>44</v>
      </c>
      <c r="C62" s="5" t="s">
        <v>1288</v>
      </c>
      <c r="D62" s="3" t="s">
        <v>1289</v>
      </c>
      <c r="E62" s="3" t="s">
        <v>528</v>
      </c>
      <c r="F62" s="3" t="s">
        <v>1290</v>
      </c>
    </row>
    <row r="63" spans="1:6" ht="15.75" customHeight="1" x14ac:dyDescent="0.35">
      <c r="A63" s="3">
        <v>62</v>
      </c>
      <c r="B63" s="3">
        <v>44</v>
      </c>
      <c r="C63" s="5" t="s">
        <v>1291</v>
      </c>
      <c r="D63" s="3" t="s">
        <v>1292</v>
      </c>
      <c r="E63" s="3" t="s">
        <v>465</v>
      </c>
      <c r="F63" s="3" t="s">
        <v>1293</v>
      </c>
    </row>
    <row r="64" spans="1:6" ht="15.75" customHeight="1" x14ac:dyDescent="0.35">
      <c r="A64" s="3">
        <v>63</v>
      </c>
      <c r="B64" s="3">
        <v>44</v>
      </c>
      <c r="C64" s="5" t="s">
        <v>1294</v>
      </c>
      <c r="D64" s="3" t="s">
        <v>1295</v>
      </c>
      <c r="E64" s="3" t="s">
        <v>465</v>
      </c>
      <c r="F64" s="3" t="s">
        <v>1296</v>
      </c>
    </row>
    <row r="65" spans="1:6" ht="15.75" customHeight="1" x14ac:dyDescent="0.35">
      <c r="A65" s="3">
        <v>64</v>
      </c>
      <c r="B65" s="3">
        <v>44</v>
      </c>
      <c r="C65" s="5" t="s">
        <v>1297</v>
      </c>
      <c r="D65" s="3" t="s">
        <v>1298</v>
      </c>
      <c r="E65" s="3" t="s">
        <v>465</v>
      </c>
      <c r="F65" s="3" t="s">
        <v>1299</v>
      </c>
    </row>
    <row r="66" spans="1:6" ht="15.75" customHeight="1" x14ac:dyDescent="0.35">
      <c r="A66" s="3">
        <v>65</v>
      </c>
      <c r="B66" s="3">
        <v>45</v>
      </c>
      <c r="C66" s="5" t="s">
        <v>1300</v>
      </c>
      <c r="D66" s="3" t="s">
        <v>1301</v>
      </c>
      <c r="E66" s="3" t="s">
        <v>458</v>
      </c>
      <c r="F66" s="3" t="s">
        <v>1302</v>
      </c>
    </row>
    <row r="67" spans="1:6" ht="15.75" customHeight="1" x14ac:dyDescent="0.35">
      <c r="A67" s="3">
        <v>66</v>
      </c>
      <c r="B67" s="3">
        <v>45</v>
      </c>
      <c r="C67" s="5" t="s">
        <v>1303</v>
      </c>
      <c r="D67" s="3" t="s">
        <v>1304</v>
      </c>
      <c r="E67" s="3" t="s">
        <v>496</v>
      </c>
      <c r="F67" s="3" t="s">
        <v>1305</v>
      </c>
    </row>
    <row r="68" spans="1:6" ht="15.75" customHeight="1" x14ac:dyDescent="0.35">
      <c r="A68" s="3">
        <v>67</v>
      </c>
      <c r="B68" s="3">
        <v>45</v>
      </c>
      <c r="C68" s="5" t="s">
        <v>1306</v>
      </c>
      <c r="D68" s="3" t="s">
        <v>1307</v>
      </c>
      <c r="E68" s="3" t="s">
        <v>465</v>
      </c>
      <c r="F68" s="3" t="s">
        <v>1308</v>
      </c>
    </row>
    <row r="69" spans="1:6" ht="15.75" customHeight="1" x14ac:dyDescent="0.35">
      <c r="A69" s="3">
        <v>68</v>
      </c>
      <c r="B69" s="3">
        <v>45</v>
      </c>
      <c r="C69" s="5" t="s">
        <v>1309</v>
      </c>
      <c r="D69" s="3" t="s">
        <v>1310</v>
      </c>
      <c r="E69" s="3" t="s">
        <v>465</v>
      </c>
      <c r="F69" s="3" t="s">
        <v>1311</v>
      </c>
    </row>
    <row r="70" spans="1:6" ht="15.75" customHeight="1" x14ac:dyDescent="0.35">
      <c r="A70" s="3">
        <v>69</v>
      </c>
      <c r="B70" s="3">
        <v>45</v>
      </c>
      <c r="C70" s="5" t="s">
        <v>1312</v>
      </c>
      <c r="D70" s="3" t="s">
        <v>1313</v>
      </c>
      <c r="E70" s="3" t="s">
        <v>458</v>
      </c>
      <c r="F70" s="3" t="s">
        <v>1314</v>
      </c>
    </row>
    <row r="71" spans="1:6" ht="15.75" customHeight="1" x14ac:dyDescent="0.35">
      <c r="A71" s="3">
        <v>70</v>
      </c>
      <c r="B71" s="3">
        <v>45</v>
      </c>
      <c r="C71" s="5" t="s">
        <v>1315</v>
      </c>
      <c r="D71" s="3" t="s">
        <v>1316</v>
      </c>
      <c r="E71" s="3" t="s">
        <v>6</v>
      </c>
      <c r="F71" s="3" t="s">
        <v>1317</v>
      </c>
    </row>
    <row r="72" spans="1:6" ht="15.75" customHeight="1" x14ac:dyDescent="0.35">
      <c r="A72" s="3">
        <v>71</v>
      </c>
      <c r="B72" s="3">
        <v>45</v>
      </c>
      <c r="C72" s="5" t="s">
        <v>1318</v>
      </c>
      <c r="D72" s="3" t="s">
        <v>1319</v>
      </c>
      <c r="E72" s="3" t="s">
        <v>465</v>
      </c>
      <c r="F72" s="3" t="s">
        <v>1320</v>
      </c>
    </row>
    <row r="73" spans="1:6" ht="15.75" customHeight="1" x14ac:dyDescent="0.35">
      <c r="A73" s="3">
        <v>72</v>
      </c>
      <c r="B73" s="3">
        <v>45</v>
      </c>
      <c r="C73" s="5" t="s">
        <v>1321</v>
      </c>
      <c r="D73" s="3" t="s">
        <v>1322</v>
      </c>
      <c r="E73" s="3" t="s">
        <v>496</v>
      </c>
      <c r="F73" s="3" t="s">
        <v>1323</v>
      </c>
    </row>
    <row r="74" spans="1:6" ht="15.75" customHeight="1" x14ac:dyDescent="0.35">
      <c r="A74" s="3">
        <v>73</v>
      </c>
      <c r="B74" s="3">
        <v>46</v>
      </c>
      <c r="C74" s="5" t="s">
        <v>1324</v>
      </c>
      <c r="D74" s="3" t="s">
        <v>1325</v>
      </c>
      <c r="E74" s="3" t="s">
        <v>465</v>
      </c>
      <c r="F74" s="3" t="s">
        <v>1326</v>
      </c>
    </row>
    <row r="75" spans="1:6" ht="15.75" customHeight="1" x14ac:dyDescent="0.35">
      <c r="A75" s="3">
        <v>74</v>
      </c>
      <c r="B75" s="3">
        <v>46</v>
      </c>
      <c r="C75" s="5" t="s">
        <v>1327</v>
      </c>
      <c r="D75" s="3" t="s">
        <v>1328</v>
      </c>
      <c r="E75" s="3" t="s">
        <v>458</v>
      </c>
      <c r="F75" s="3" t="s">
        <v>1329</v>
      </c>
    </row>
    <row r="76" spans="1:6" ht="15.75" customHeight="1" x14ac:dyDescent="0.35">
      <c r="A76" s="3">
        <v>75</v>
      </c>
      <c r="B76" s="3">
        <v>46</v>
      </c>
      <c r="C76" s="5" t="s">
        <v>1330</v>
      </c>
      <c r="D76" s="3" t="s">
        <v>1331</v>
      </c>
      <c r="E76" s="3" t="s">
        <v>465</v>
      </c>
      <c r="F76" s="3" t="s">
        <v>1332</v>
      </c>
    </row>
    <row r="77" spans="1:6" ht="15.75" customHeight="1" x14ac:dyDescent="0.35">
      <c r="A77" s="3">
        <v>76</v>
      </c>
      <c r="B77" s="3">
        <v>46</v>
      </c>
      <c r="C77" s="5" t="s">
        <v>1333</v>
      </c>
      <c r="D77" s="3" t="s">
        <v>1334</v>
      </c>
      <c r="E77" s="3" t="s">
        <v>458</v>
      </c>
      <c r="F77" s="3" t="s">
        <v>1335</v>
      </c>
    </row>
    <row r="78" spans="1:6" ht="15.75" customHeight="1" x14ac:dyDescent="0.35">
      <c r="A78" s="3">
        <v>77</v>
      </c>
      <c r="B78" s="3">
        <v>46</v>
      </c>
      <c r="C78" s="5" t="s">
        <v>1336</v>
      </c>
      <c r="D78" s="3" t="s">
        <v>1337</v>
      </c>
      <c r="E78" s="3" t="s">
        <v>465</v>
      </c>
      <c r="F78" s="3" t="s">
        <v>1338</v>
      </c>
    </row>
    <row r="79" spans="1:6" ht="15.75" customHeight="1" x14ac:dyDescent="0.35">
      <c r="A79" s="3">
        <v>78</v>
      </c>
      <c r="B79" s="3">
        <v>46</v>
      </c>
      <c r="C79" s="5" t="s">
        <v>1339</v>
      </c>
      <c r="D79" s="3" t="s">
        <v>1340</v>
      </c>
      <c r="E79" s="3" t="s">
        <v>465</v>
      </c>
      <c r="F79" s="3" t="s">
        <v>1341</v>
      </c>
    </row>
    <row r="80" spans="1:6" ht="15.75" customHeight="1" x14ac:dyDescent="0.35">
      <c r="A80" s="3">
        <v>79</v>
      </c>
      <c r="B80" s="3">
        <v>46</v>
      </c>
      <c r="C80" s="5" t="s">
        <v>1342</v>
      </c>
      <c r="D80" s="3" t="s">
        <v>1343</v>
      </c>
      <c r="E80" s="3" t="s">
        <v>458</v>
      </c>
      <c r="F80" s="3" t="s">
        <v>1344</v>
      </c>
    </row>
    <row r="81" spans="1:6" ht="15.75" customHeight="1" x14ac:dyDescent="0.35">
      <c r="A81" s="3">
        <v>80</v>
      </c>
      <c r="B81" s="3">
        <v>46</v>
      </c>
      <c r="C81" s="5" t="s">
        <v>1345</v>
      </c>
      <c r="D81" s="3" t="s">
        <v>1346</v>
      </c>
      <c r="E81" s="3" t="s">
        <v>465</v>
      </c>
      <c r="F81" s="3" t="s">
        <v>1347</v>
      </c>
    </row>
    <row r="82" spans="1:6" ht="15.75" customHeight="1" x14ac:dyDescent="0.35">
      <c r="A82" s="3">
        <v>81</v>
      </c>
      <c r="B82" s="3">
        <v>47</v>
      </c>
      <c r="C82" s="5" t="s">
        <v>1348</v>
      </c>
      <c r="D82" s="3" t="s">
        <v>1349</v>
      </c>
      <c r="E82" s="3" t="s">
        <v>465</v>
      </c>
      <c r="F82" s="3" t="s">
        <v>1350</v>
      </c>
    </row>
    <row r="83" spans="1:6" ht="15.75" customHeight="1" x14ac:dyDescent="0.35">
      <c r="A83" s="3">
        <v>82</v>
      </c>
      <c r="B83" s="3">
        <v>47</v>
      </c>
      <c r="C83" s="5" t="s">
        <v>1351</v>
      </c>
      <c r="D83" s="3" t="s">
        <v>1352</v>
      </c>
      <c r="E83" s="3" t="s">
        <v>465</v>
      </c>
      <c r="F83" s="3" t="s">
        <v>1353</v>
      </c>
    </row>
    <row r="84" spans="1:6" ht="15.75" customHeight="1" x14ac:dyDescent="0.35">
      <c r="A84" s="3">
        <v>83</v>
      </c>
      <c r="B84" s="3">
        <v>47</v>
      </c>
      <c r="C84" s="5" t="s">
        <v>1354</v>
      </c>
      <c r="D84" s="3" t="s">
        <v>1355</v>
      </c>
      <c r="E84" s="3" t="s">
        <v>465</v>
      </c>
      <c r="F84" s="3" t="s">
        <v>1356</v>
      </c>
    </row>
    <row r="85" spans="1:6" ht="15.75" customHeight="1" x14ac:dyDescent="0.35">
      <c r="A85" s="3">
        <v>84</v>
      </c>
      <c r="B85" s="3">
        <v>47</v>
      </c>
      <c r="C85" s="5" t="s">
        <v>1357</v>
      </c>
      <c r="D85" s="3" t="s">
        <v>1358</v>
      </c>
      <c r="E85" s="3" t="s">
        <v>465</v>
      </c>
      <c r="F85" s="3" t="s">
        <v>1359</v>
      </c>
    </row>
    <row r="86" spans="1:6" ht="15.75" customHeight="1" x14ac:dyDescent="0.35">
      <c r="A86" s="3">
        <v>85</v>
      </c>
      <c r="B86" s="3">
        <v>47</v>
      </c>
      <c r="C86" s="5" t="s">
        <v>1360</v>
      </c>
      <c r="D86" s="3" t="s">
        <v>1361</v>
      </c>
      <c r="E86" s="3" t="s">
        <v>458</v>
      </c>
      <c r="F86" s="3" t="s">
        <v>1362</v>
      </c>
    </row>
    <row r="87" spans="1:6" ht="15.75" customHeight="1" x14ac:dyDescent="0.35">
      <c r="A87" s="3">
        <v>86</v>
      </c>
      <c r="B87" s="3">
        <v>47</v>
      </c>
      <c r="C87" s="5" t="s">
        <v>1363</v>
      </c>
      <c r="D87" s="3" t="s">
        <v>1364</v>
      </c>
      <c r="E87" s="3" t="s">
        <v>578</v>
      </c>
      <c r="F87" s="3" t="s">
        <v>1365</v>
      </c>
    </row>
    <row r="88" spans="1:6" ht="15.75" customHeight="1" x14ac:dyDescent="0.35">
      <c r="A88" s="3">
        <v>87</v>
      </c>
      <c r="B88" s="3">
        <v>47</v>
      </c>
      <c r="C88" s="5" t="s">
        <v>1366</v>
      </c>
      <c r="D88" s="3" t="s">
        <v>766</v>
      </c>
      <c r="E88" s="3" t="s">
        <v>528</v>
      </c>
      <c r="F88" s="3" t="s">
        <v>1367</v>
      </c>
    </row>
    <row r="89" spans="1:6" ht="15.75" customHeight="1" x14ac:dyDescent="0.35">
      <c r="A89" s="3">
        <v>88</v>
      </c>
      <c r="B89" s="3">
        <v>47</v>
      </c>
      <c r="C89" s="5" t="s">
        <v>1368</v>
      </c>
      <c r="D89" s="3" t="s">
        <v>1369</v>
      </c>
      <c r="E89" s="3" t="s">
        <v>458</v>
      </c>
      <c r="F89" s="3" t="s">
        <v>1370</v>
      </c>
    </row>
    <row r="90" spans="1:6" ht="15.75" customHeight="1" x14ac:dyDescent="0.35">
      <c r="A90" s="3">
        <v>89</v>
      </c>
      <c r="B90" s="3">
        <v>48</v>
      </c>
      <c r="C90" s="5" t="s">
        <v>1371</v>
      </c>
      <c r="D90" s="3" t="s">
        <v>1372</v>
      </c>
      <c r="E90" s="3" t="s">
        <v>465</v>
      </c>
      <c r="F90" s="3" t="s">
        <v>1373</v>
      </c>
    </row>
    <row r="91" spans="1:6" ht="15.75" customHeight="1" x14ac:dyDescent="0.35">
      <c r="A91" s="3">
        <v>90</v>
      </c>
      <c r="B91" s="3">
        <v>48</v>
      </c>
      <c r="C91" s="5" t="s">
        <v>1374</v>
      </c>
      <c r="D91" s="3" t="s">
        <v>1375</v>
      </c>
      <c r="E91" s="3" t="s">
        <v>458</v>
      </c>
      <c r="F91" s="3" t="s">
        <v>1376</v>
      </c>
    </row>
    <row r="92" spans="1:6" ht="15.75" customHeight="1" x14ac:dyDescent="0.35">
      <c r="A92" s="3">
        <v>91</v>
      </c>
      <c r="B92" s="3">
        <v>48</v>
      </c>
      <c r="C92" s="5" t="s">
        <v>1377</v>
      </c>
      <c r="D92" s="3" t="s">
        <v>1378</v>
      </c>
      <c r="E92" s="3" t="s">
        <v>465</v>
      </c>
      <c r="F92" s="3" t="s">
        <v>1379</v>
      </c>
    </row>
    <row r="93" spans="1:6" ht="15.75" customHeight="1" x14ac:dyDescent="0.35">
      <c r="A93" s="3">
        <v>92</v>
      </c>
      <c r="B93" s="3">
        <v>48</v>
      </c>
      <c r="C93" s="5" t="s">
        <v>1380</v>
      </c>
      <c r="D93" s="3" t="s">
        <v>1381</v>
      </c>
      <c r="E93" s="3" t="s">
        <v>458</v>
      </c>
      <c r="F93" s="3" t="s">
        <v>1382</v>
      </c>
    </row>
    <row r="94" spans="1:6" ht="15.75" customHeight="1" x14ac:dyDescent="0.35">
      <c r="A94" s="3">
        <v>93</v>
      </c>
      <c r="B94" s="3">
        <v>48</v>
      </c>
      <c r="C94" s="5" t="s">
        <v>1383</v>
      </c>
      <c r="D94" s="3" t="s">
        <v>1381</v>
      </c>
      <c r="E94" s="3" t="s">
        <v>458</v>
      </c>
      <c r="F94" s="3" t="s">
        <v>1384</v>
      </c>
    </row>
    <row r="95" spans="1:6" ht="15.75" customHeight="1" x14ac:dyDescent="0.35">
      <c r="A95" s="3">
        <v>94</v>
      </c>
      <c r="B95" s="3">
        <v>48</v>
      </c>
      <c r="C95" s="5" t="s">
        <v>1385</v>
      </c>
      <c r="D95" s="3" t="s">
        <v>1386</v>
      </c>
      <c r="E95" s="3" t="s">
        <v>465</v>
      </c>
      <c r="F95" s="3" t="s">
        <v>1387</v>
      </c>
    </row>
    <row r="96" spans="1:6" ht="15.75" customHeight="1" x14ac:dyDescent="0.35">
      <c r="A96" s="3">
        <v>95</v>
      </c>
      <c r="B96" s="3">
        <v>48</v>
      </c>
      <c r="C96" s="5" t="s">
        <v>1388</v>
      </c>
      <c r="D96" s="3" t="s">
        <v>1389</v>
      </c>
      <c r="E96" s="3" t="s">
        <v>528</v>
      </c>
      <c r="F96" s="3" t="s">
        <v>1390</v>
      </c>
    </row>
    <row r="97" spans="1:6" ht="15.75" customHeight="1" x14ac:dyDescent="0.35">
      <c r="A97" s="3">
        <v>96</v>
      </c>
      <c r="B97" s="3">
        <v>48</v>
      </c>
      <c r="C97" s="5" t="s">
        <v>1391</v>
      </c>
      <c r="D97" s="3" t="s">
        <v>1392</v>
      </c>
      <c r="E97" s="3" t="s">
        <v>465</v>
      </c>
      <c r="F97" s="3" t="s">
        <v>1393</v>
      </c>
    </row>
    <row r="98" spans="1:6" ht="15.75" customHeight="1" x14ac:dyDescent="0.35">
      <c r="A98" s="3">
        <v>97</v>
      </c>
      <c r="B98" s="3">
        <v>50</v>
      </c>
      <c r="C98" s="5" t="s">
        <v>1394</v>
      </c>
      <c r="D98" s="3" t="s">
        <v>1395</v>
      </c>
      <c r="E98" s="3" t="s">
        <v>465</v>
      </c>
      <c r="F98" s="3" t="s">
        <v>1396</v>
      </c>
    </row>
    <row r="99" spans="1:6" ht="15.75" customHeight="1" x14ac:dyDescent="0.35">
      <c r="A99" s="3">
        <v>98</v>
      </c>
      <c r="B99" s="3">
        <v>50</v>
      </c>
      <c r="C99" s="5" t="s">
        <v>1397</v>
      </c>
      <c r="D99" s="3" t="s">
        <v>1398</v>
      </c>
      <c r="E99" s="3" t="s">
        <v>458</v>
      </c>
      <c r="F99" s="3" t="s">
        <v>1399</v>
      </c>
    </row>
    <row r="100" spans="1:6" ht="15.75" customHeight="1" x14ac:dyDescent="0.35">
      <c r="A100" s="3">
        <v>99</v>
      </c>
      <c r="B100" s="3">
        <v>50</v>
      </c>
      <c r="C100" s="5" t="s">
        <v>1400</v>
      </c>
      <c r="D100" s="3" t="s">
        <v>1401</v>
      </c>
      <c r="E100" s="3" t="s">
        <v>458</v>
      </c>
      <c r="F100" s="3" t="s">
        <v>1402</v>
      </c>
    </row>
    <row r="101" spans="1:6" ht="15.75" customHeight="1" x14ac:dyDescent="0.35">
      <c r="A101" s="3">
        <v>100</v>
      </c>
      <c r="B101" s="3">
        <v>50</v>
      </c>
      <c r="C101" s="5" t="s">
        <v>1403</v>
      </c>
      <c r="D101" s="3" t="s">
        <v>1404</v>
      </c>
      <c r="E101" s="3" t="s">
        <v>465</v>
      </c>
      <c r="F101" s="3" t="s">
        <v>1405</v>
      </c>
    </row>
    <row r="102" spans="1:6" ht="15.75" customHeight="1" x14ac:dyDescent="0.35">
      <c r="A102" s="3">
        <v>101</v>
      </c>
      <c r="B102" s="3">
        <v>50</v>
      </c>
      <c r="C102" s="5" t="s">
        <v>1406</v>
      </c>
      <c r="D102" s="3" t="s">
        <v>1407</v>
      </c>
      <c r="E102" s="3" t="s">
        <v>458</v>
      </c>
      <c r="F102" s="3" t="s">
        <v>1408</v>
      </c>
    </row>
    <row r="103" spans="1:6" ht="15.75" customHeight="1" x14ac:dyDescent="0.35">
      <c r="A103" s="3">
        <v>102</v>
      </c>
      <c r="B103" s="3">
        <v>50</v>
      </c>
      <c r="C103" s="5" t="s">
        <v>1409</v>
      </c>
      <c r="D103" s="3" t="s">
        <v>1410</v>
      </c>
      <c r="E103" s="3" t="s">
        <v>476</v>
      </c>
      <c r="F103" s="3" t="s">
        <v>1411</v>
      </c>
    </row>
    <row r="104" spans="1:6" ht="15.75" customHeight="1" x14ac:dyDescent="0.35">
      <c r="A104" s="3">
        <v>103</v>
      </c>
      <c r="B104" s="3">
        <v>50</v>
      </c>
      <c r="C104" s="5" t="s">
        <v>1412</v>
      </c>
      <c r="D104" s="3" t="s">
        <v>1413</v>
      </c>
      <c r="E104" s="3" t="s">
        <v>496</v>
      </c>
      <c r="F104" s="3" t="s">
        <v>1414</v>
      </c>
    </row>
    <row r="105" spans="1:6" ht="15.75" customHeight="1" x14ac:dyDescent="0.35">
      <c r="A105" s="3">
        <v>104</v>
      </c>
      <c r="B105" s="3">
        <v>50</v>
      </c>
      <c r="C105" s="5" t="s">
        <v>1415</v>
      </c>
      <c r="D105" s="3" t="s">
        <v>1416</v>
      </c>
      <c r="E105" s="3" t="s">
        <v>458</v>
      </c>
      <c r="F105" s="3" t="s">
        <v>1417</v>
      </c>
    </row>
    <row r="106" spans="1:6" ht="15.75" customHeight="1" x14ac:dyDescent="0.35">
      <c r="A106" s="3">
        <v>105</v>
      </c>
      <c r="B106" s="3">
        <v>51</v>
      </c>
      <c r="C106" s="5" t="s">
        <v>1418</v>
      </c>
      <c r="D106" s="3" t="s">
        <v>1419</v>
      </c>
      <c r="E106" s="3" t="s">
        <v>458</v>
      </c>
      <c r="F106" s="3" t="s">
        <v>1420</v>
      </c>
    </row>
    <row r="107" spans="1:6" ht="15.75" customHeight="1" x14ac:dyDescent="0.35">
      <c r="A107" s="3">
        <v>106</v>
      </c>
      <c r="B107" s="3">
        <v>51</v>
      </c>
      <c r="C107" s="5" t="s">
        <v>1421</v>
      </c>
      <c r="D107" s="3" t="s">
        <v>1422</v>
      </c>
      <c r="E107" s="3" t="s">
        <v>465</v>
      </c>
      <c r="F107" s="3" t="s">
        <v>1423</v>
      </c>
    </row>
    <row r="108" spans="1:6" ht="15.75" customHeight="1" x14ac:dyDescent="0.35">
      <c r="A108" s="3">
        <v>107</v>
      </c>
      <c r="B108" s="3">
        <v>51</v>
      </c>
      <c r="C108" s="5" t="s">
        <v>1424</v>
      </c>
      <c r="D108" s="3" t="s">
        <v>1425</v>
      </c>
      <c r="E108" s="3" t="s">
        <v>465</v>
      </c>
      <c r="F108" s="3" t="s">
        <v>1426</v>
      </c>
    </row>
    <row r="109" spans="1:6" ht="15.75" customHeight="1" x14ac:dyDescent="0.35">
      <c r="A109" s="3">
        <v>108</v>
      </c>
      <c r="B109" s="3">
        <v>51</v>
      </c>
      <c r="C109" s="5" t="s">
        <v>1427</v>
      </c>
      <c r="D109" s="3" t="s">
        <v>1428</v>
      </c>
      <c r="E109" s="3" t="s">
        <v>465</v>
      </c>
      <c r="F109" s="3" t="s">
        <v>1429</v>
      </c>
    </row>
    <row r="110" spans="1:6" ht="15.75" customHeight="1" x14ac:dyDescent="0.35">
      <c r="A110" s="3">
        <v>109</v>
      </c>
      <c r="B110" s="3">
        <v>51</v>
      </c>
      <c r="C110" s="5" t="s">
        <v>1430</v>
      </c>
      <c r="D110" s="3" t="s">
        <v>1431</v>
      </c>
      <c r="E110" s="3" t="s">
        <v>465</v>
      </c>
      <c r="F110" s="3" t="s">
        <v>1432</v>
      </c>
    </row>
    <row r="111" spans="1:6" ht="15.75" customHeight="1" x14ac:dyDescent="0.35">
      <c r="A111" s="3">
        <v>110</v>
      </c>
      <c r="B111" s="3">
        <v>51</v>
      </c>
      <c r="C111" s="5" t="s">
        <v>1433</v>
      </c>
      <c r="D111" s="3" t="s">
        <v>1434</v>
      </c>
      <c r="E111" s="3" t="s">
        <v>458</v>
      </c>
      <c r="F111" s="3" t="s">
        <v>1435</v>
      </c>
    </row>
    <row r="112" spans="1:6" ht="15.75" customHeight="1" x14ac:dyDescent="0.35">
      <c r="A112" s="3">
        <v>111</v>
      </c>
      <c r="B112" s="3">
        <v>51</v>
      </c>
      <c r="C112" s="5" t="s">
        <v>1436</v>
      </c>
      <c r="D112" s="3" t="s">
        <v>1434</v>
      </c>
      <c r="E112" s="3" t="s">
        <v>465</v>
      </c>
      <c r="F112" s="3" t="s">
        <v>1437</v>
      </c>
    </row>
    <row r="113" spans="1:6" ht="15.75" customHeight="1" x14ac:dyDescent="0.35">
      <c r="A113" s="3">
        <v>112</v>
      </c>
      <c r="B113" s="3">
        <v>51</v>
      </c>
      <c r="C113" s="5" t="s">
        <v>1438</v>
      </c>
      <c r="D113" s="3" t="s">
        <v>1439</v>
      </c>
      <c r="E113" s="3" t="s">
        <v>480</v>
      </c>
      <c r="F113" s="3" t="s">
        <v>1440</v>
      </c>
    </row>
    <row r="114" spans="1:6" ht="15.75" customHeight="1" x14ac:dyDescent="0.35">
      <c r="A114" s="3">
        <v>113</v>
      </c>
      <c r="B114" s="3">
        <v>52</v>
      </c>
      <c r="C114" s="5" t="s">
        <v>1441</v>
      </c>
      <c r="D114" s="3" t="s">
        <v>1442</v>
      </c>
      <c r="E114" s="3" t="s">
        <v>480</v>
      </c>
      <c r="F114" s="3" t="s">
        <v>1443</v>
      </c>
    </row>
    <row r="115" spans="1:6" ht="15.75" customHeight="1" x14ac:dyDescent="0.35">
      <c r="A115" s="3">
        <v>114</v>
      </c>
      <c r="B115" s="3">
        <v>52</v>
      </c>
      <c r="C115" s="5" t="s">
        <v>1444</v>
      </c>
      <c r="D115" s="3" t="s">
        <v>1445</v>
      </c>
      <c r="E115" s="3" t="s">
        <v>578</v>
      </c>
      <c r="F115" s="3" t="s">
        <v>1446</v>
      </c>
    </row>
    <row r="116" spans="1:6" ht="15.75" customHeight="1" x14ac:dyDescent="0.35">
      <c r="A116" s="3">
        <v>115</v>
      </c>
      <c r="B116" s="3">
        <v>52</v>
      </c>
      <c r="C116" s="5" t="s">
        <v>1447</v>
      </c>
      <c r="D116" s="3" t="s">
        <v>1448</v>
      </c>
      <c r="E116" s="3" t="s">
        <v>496</v>
      </c>
      <c r="F116" s="3" t="s">
        <v>1449</v>
      </c>
    </row>
    <row r="117" spans="1:6" ht="15.75" customHeight="1" x14ac:dyDescent="0.35">
      <c r="A117" s="3">
        <v>116</v>
      </c>
      <c r="B117" s="3">
        <v>52</v>
      </c>
      <c r="C117" s="5" t="s">
        <v>1450</v>
      </c>
      <c r="D117" s="3" t="s">
        <v>1451</v>
      </c>
      <c r="E117" s="3" t="s">
        <v>458</v>
      </c>
      <c r="F117" s="3" t="s">
        <v>1452</v>
      </c>
    </row>
    <row r="118" spans="1:6" ht="15.75" customHeight="1" x14ac:dyDescent="0.35">
      <c r="A118" s="3">
        <v>117</v>
      </c>
      <c r="B118" s="3">
        <v>52</v>
      </c>
      <c r="C118" s="5" t="s">
        <v>1453</v>
      </c>
      <c r="D118" s="3" t="s">
        <v>1454</v>
      </c>
      <c r="E118" s="3" t="s">
        <v>465</v>
      </c>
      <c r="F118" s="3" t="s">
        <v>1455</v>
      </c>
    </row>
    <row r="119" spans="1:6" ht="15.75" customHeight="1" x14ac:dyDescent="0.35">
      <c r="A119" s="3">
        <v>118</v>
      </c>
      <c r="B119" s="3">
        <v>52</v>
      </c>
      <c r="C119" s="5" t="s">
        <v>1456</v>
      </c>
      <c r="D119" s="3" t="s">
        <v>1457</v>
      </c>
      <c r="E119" s="3" t="s">
        <v>465</v>
      </c>
      <c r="F119" s="3" t="s">
        <v>1458</v>
      </c>
    </row>
    <row r="120" spans="1:6" ht="15.75" customHeight="1" x14ac:dyDescent="0.35">
      <c r="A120" s="3">
        <v>119</v>
      </c>
      <c r="B120" s="3">
        <v>52</v>
      </c>
      <c r="C120" s="5" t="s">
        <v>1459</v>
      </c>
      <c r="D120" s="3" t="s">
        <v>1460</v>
      </c>
      <c r="E120" s="3" t="s">
        <v>465</v>
      </c>
      <c r="F120" s="3" t="s">
        <v>1461</v>
      </c>
    </row>
    <row r="121" spans="1:6" ht="15.75" customHeight="1" x14ac:dyDescent="0.35">
      <c r="A121" s="3">
        <v>120</v>
      </c>
      <c r="B121" s="3">
        <v>52</v>
      </c>
      <c r="C121" s="5" t="s">
        <v>1462</v>
      </c>
      <c r="D121" s="3" t="s">
        <v>1463</v>
      </c>
      <c r="E121" s="3" t="s">
        <v>496</v>
      </c>
      <c r="F121" s="3" t="s">
        <v>1464</v>
      </c>
    </row>
    <row r="122" spans="1:6" ht="15.75" customHeight="1" x14ac:dyDescent="0.35">
      <c r="A122" s="3">
        <v>121</v>
      </c>
      <c r="B122" s="3">
        <v>53</v>
      </c>
      <c r="C122" s="5" t="s">
        <v>1465</v>
      </c>
      <c r="D122" s="3" t="s">
        <v>1466</v>
      </c>
      <c r="E122" s="3" t="s">
        <v>465</v>
      </c>
      <c r="F122" s="3" t="s">
        <v>1467</v>
      </c>
    </row>
    <row r="123" spans="1:6" ht="15.75" customHeight="1" x14ac:dyDescent="0.35">
      <c r="A123" s="3">
        <v>122</v>
      </c>
      <c r="B123" s="3">
        <v>53</v>
      </c>
      <c r="C123" s="5" t="s">
        <v>1468</v>
      </c>
      <c r="D123" s="3" t="s">
        <v>862</v>
      </c>
      <c r="E123" s="3" t="s">
        <v>480</v>
      </c>
      <c r="F123" s="3" t="s">
        <v>1469</v>
      </c>
    </row>
    <row r="124" spans="1:6" ht="15.75" customHeight="1" x14ac:dyDescent="0.35">
      <c r="A124" s="3">
        <v>123</v>
      </c>
      <c r="B124" s="3">
        <v>53</v>
      </c>
      <c r="C124" s="5" t="s">
        <v>1470</v>
      </c>
      <c r="D124" s="3" t="s">
        <v>1471</v>
      </c>
      <c r="E124" s="3" t="s">
        <v>654</v>
      </c>
      <c r="F124" s="3" t="s">
        <v>1472</v>
      </c>
    </row>
    <row r="125" spans="1:6" ht="15.75" customHeight="1" x14ac:dyDescent="0.35">
      <c r="A125" s="3">
        <v>124</v>
      </c>
      <c r="B125" s="3">
        <v>53</v>
      </c>
      <c r="C125" s="5" t="s">
        <v>1473</v>
      </c>
      <c r="D125" s="3" t="s">
        <v>1474</v>
      </c>
      <c r="E125" s="3" t="s">
        <v>465</v>
      </c>
      <c r="F125" s="3" t="s">
        <v>1338</v>
      </c>
    </row>
    <row r="126" spans="1:6" ht="15.75" customHeight="1" x14ac:dyDescent="0.35">
      <c r="A126" s="3">
        <v>125</v>
      </c>
      <c r="B126" s="3">
        <v>53</v>
      </c>
      <c r="C126" s="5" t="s">
        <v>1475</v>
      </c>
      <c r="D126" s="3" t="s">
        <v>1476</v>
      </c>
      <c r="E126" s="3" t="s">
        <v>476</v>
      </c>
      <c r="F126" s="3" t="s">
        <v>1477</v>
      </c>
    </row>
    <row r="127" spans="1:6" ht="15.75" customHeight="1" x14ac:dyDescent="0.35">
      <c r="A127" s="3">
        <v>126</v>
      </c>
      <c r="B127" s="3">
        <v>53</v>
      </c>
      <c r="C127" s="5" t="s">
        <v>1478</v>
      </c>
      <c r="D127" s="3" t="s">
        <v>1479</v>
      </c>
      <c r="E127" s="3" t="s">
        <v>465</v>
      </c>
      <c r="F127" s="3" t="s">
        <v>1480</v>
      </c>
    </row>
    <row r="128" spans="1:6" ht="15.75" customHeight="1" x14ac:dyDescent="0.35">
      <c r="A128" s="3">
        <v>127</v>
      </c>
      <c r="B128" s="3">
        <v>53</v>
      </c>
      <c r="C128" s="5" t="s">
        <v>1481</v>
      </c>
      <c r="D128" s="3" t="s">
        <v>1482</v>
      </c>
      <c r="E128" s="3" t="s">
        <v>458</v>
      </c>
      <c r="F128" s="3" t="s">
        <v>1483</v>
      </c>
    </row>
    <row r="129" spans="1:6" ht="15.75" customHeight="1" x14ac:dyDescent="0.35">
      <c r="A129" s="3">
        <v>128</v>
      </c>
      <c r="B129" s="3">
        <v>53</v>
      </c>
      <c r="C129" s="5" t="s">
        <v>1484</v>
      </c>
      <c r="D129" s="3" t="s">
        <v>1485</v>
      </c>
      <c r="E129" s="3" t="s">
        <v>500</v>
      </c>
      <c r="F129" s="3" t="s">
        <v>1486</v>
      </c>
    </row>
    <row r="130" spans="1:6" ht="15.75" customHeight="1" x14ac:dyDescent="0.35">
      <c r="A130" s="3">
        <v>129</v>
      </c>
      <c r="B130" s="3">
        <v>54</v>
      </c>
      <c r="C130" s="5" t="s">
        <v>1487</v>
      </c>
      <c r="D130" s="3" t="s">
        <v>1488</v>
      </c>
      <c r="E130" s="3" t="s">
        <v>496</v>
      </c>
      <c r="F130" s="3" t="s">
        <v>1489</v>
      </c>
    </row>
    <row r="131" spans="1:6" ht="15.75" customHeight="1" x14ac:dyDescent="0.35">
      <c r="A131" s="3">
        <v>130</v>
      </c>
      <c r="B131" s="3">
        <v>54</v>
      </c>
      <c r="C131" s="5" t="s">
        <v>1490</v>
      </c>
      <c r="D131" s="3" t="s">
        <v>1491</v>
      </c>
      <c r="E131" s="3" t="s">
        <v>480</v>
      </c>
      <c r="F131" s="3" t="s">
        <v>1486</v>
      </c>
    </row>
    <row r="132" spans="1:6" ht="15.75" customHeight="1" x14ac:dyDescent="0.35">
      <c r="A132" s="3">
        <v>131</v>
      </c>
      <c r="B132" s="3">
        <v>54</v>
      </c>
      <c r="C132" s="5" t="s">
        <v>1492</v>
      </c>
      <c r="D132" s="3" t="s">
        <v>1493</v>
      </c>
      <c r="E132" s="3" t="s">
        <v>458</v>
      </c>
      <c r="F132" s="3" t="s">
        <v>1494</v>
      </c>
    </row>
    <row r="133" spans="1:6" ht="15.75" customHeight="1" x14ac:dyDescent="0.35">
      <c r="A133" s="3">
        <v>132</v>
      </c>
      <c r="B133" s="3">
        <v>54</v>
      </c>
      <c r="C133" s="5" t="s">
        <v>1495</v>
      </c>
      <c r="D133" s="3" t="s">
        <v>1496</v>
      </c>
      <c r="E133" s="3" t="s">
        <v>465</v>
      </c>
      <c r="F133" s="3" t="s">
        <v>1497</v>
      </c>
    </row>
    <row r="134" spans="1:6" ht="15.75" customHeight="1" x14ac:dyDescent="0.35">
      <c r="A134" s="3">
        <v>133</v>
      </c>
      <c r="B134" s="3">
        <v>54</v>
      </c>
      <c r="C134" s="5" t="s">
        <v>1498</v>
      </c>
      <c r="D134" s="3" t="s">
        <v>1499</v>
      </c>
      <c r="E134" s="3" t="s">
        <v>465</v>
      </c>
      <c r="F134" s="3" t="s">
        <v>1500</v>
      </c>
    </row>
    <row r="135" spans="1:6" ht="15.75" customHeight="1" x14ac:dyDescent="0.35">
      <c r="A135" s="3">
        <v>134</v>
      </c>
      <c r="B135" s="3">
        <v>54</v>
      </c>
      <c r="C135" s="5" t="s">
        <v>1501</v>
      </c>
      <c r="D135" s="3" t="s">
        <v>1502</v>
      </c>
      <c r="E135" s="3" t="s">
        <v>465</v>
      </c>
      <c r="F135" s="3" t="s">
        <v>1503</v>
      </c>
    </row>
    <row r="136" spans="1:6" ht="15.75" customHeight="1" x14ac:dyDescent="0.35">
      <c r="A136" s="3">
        <v>135</v>
      </c>
      <c r="B136" s="3">
        <v>54</v>
      </c>
      <c r="C136" s="5" t="s">
        <v>1504</v>
      </c>
      <c r="D136" s="3" t="s">
        <v>1502</v>
      </c>
      <c r="E136" s="3" t="s">
        <v>480</v>
      </c>
      <c r="F136" s="3" t="s">
        <v>1505</v>
      </c>
    </row>
    <row r="137" spans="1:6" ht="15.75" customHeight="1" x14ac:dyDescent="0.35">
      <c r="A137" s="3">
        <v>136</v>
      </c>
      <c r="B137" s="3">
        <v>54</v>
      </c>
      <c r="C137" s="5" t="s">
        <v>1506</v>
      </c>
      <c r="D137" s="3" t="s">
        <v>1507</v>
      </c>
      <c r="E137" s="3" t="s">
        <v>476</v>
      </c>
      <c r="F137" s="3" t="s">
        <v>1508</v>
      </c>
    </row>
    <row r="138" spans="1:6" ht="15.75" customHeight="1" x14ac:dyDescent="0.35">
      <c r="A138" s="3">
        <v>137</v>
      </c>
      <c r="B138" s="3">
        <v>55</v>
      </c>
      <c r="C138" s="5" t="s">
        <v>1509</v>
      </c>
      <c r="D138" s="3" t="s">
        <v>1510</v>
      </c>
      <c r="E138" s="3" t="s">
        <v>496</v>
      </c>
      <c r="F138" s="3" t="s">
        <v>1511</v>
      </c>
    </row>
    <row r="139" spans="1:6" ht="15.75" customHeight="1" x14ac:dyDescent="0.35">
      <c r="A139" s="3">
        <v>138</v>
      </c>
      <c r="B139" s="3">
        <v>55</v>
      </c>
      <c r="C139" s="5" t="s">
        <v>1512</v>
      </c>
      <c r="D139" s="3" t="s">
        <v>1513</v>
      </c>
      <c r="E139" s="3" t="s">
        <v>458</v>
      </c>
      <c r="F139" s="3" t="s">
        <v>1514</v>
      </c>
    </row>
    <row r="140" spans="1:6" ht="15.75" customHeight="1" x14ac:dyDescent="0.35">
      <c r="A140" s="3">
        <v>139</v>
      </c>
      <c r="B140" s="3">
        <v>55</v>
      </c>
      <c r="C140" s="5" t="s">
        <v>1515</v>
      </c>
      <c r="D140" s="3" t="s">
        <v>1516</v>
      </c>
      <c r="E140" s="3" t="s">
        <v>458</v>
      </c>
      <c r="F140" s="3" t="s">
        <v>1517</v>
      </c>
    </row>
    <row r="141" spans="1:6" ht="15.75" customHeight="1" x14ac:dyDescent="0.35">
      <c r="A141" s="3">
        <v>140</v>
      </c>
      <c r="B141" s="3">
        <v>55</v>
      </c>
      <c r="C141" s="5" t="s">
        <v>1518</v>
      </c>
      <c r="D141" s="3" t="s">
        <v>1519</v>
      </c>
      <c r="E141" s="3" t="s">
        <v>528</v>
      </c>
      <c r="F141" s="3" t="s">
        <v>1520</v>
      </c>
    </row>
    <row r="142" spans="1:6" ht="15.75" customHeight="1" x14ac:dyDescent="0.35">
      <c r="A142" s="3">
        <v>141</v>
      </c>
      <c r="B142" s="3">
        <v>55</v>
      </c>
      <c r="C142" s="5" t="s">
        <v>1521</v>
      </c>
      <c r="D142" s="3" t="s">
        <v>1522</v>
      </c>
      <c r="E142" s="3" t="s">
        <v>480</v>
      </c>
      <c r="F142" s="3" t="s">
        <v>1523</v>
      </c>
    </row>
    <row r="143" spans="1:6" ht="15.75" customHeight="1" x14ac:dyDescent="0.35">
      <c r="A143" s="3">
        <v>142</v>
      </c>
      <c r="B143" s="3">
        <v>55</v>
      </c>
      <c r="C143" s="5" t="s">
        <v>1524</v>
      </c>
      <c r="D143" s="3" t="s">
        <v>1525</v>
      </c>
      <c r="E143" s="3" t="s">
        <v>465</v>
      </c>
      <c r="F143" s="3" t="s">
        <v>1526</v>
      </c>
    </row>
    <row r="144" spans="1:6" ht="15.75" customHeight="1" x14ac:dyDescent="0.35">
      <c r="A144" s="3">
        <v>143</v>
      </c>
      <c r="B144" s="3">
        <v>55</v>
      </c>
      <c r="C144" s="5" t="s">
        <v>1527</v>
      </c>
      <c r="D144" s="3" t="s">
        <v>1528</v>
      </c>
      <c r="E144" s="3" t="s">
        <v>1529</v>
      </c>
      <c r="F144" s="3" t="s">
        <v>1530</v>
      </c>
    </row>
    <row r="145" spans="1:6" ht="15.75" customHeight="1" x14ac:dyDescent="0.35">
      <c r="A145" s="3">
        <v>144</v>
      </c>
      <c r="B145" s="3">
        <v>55</v>
      </c>
      <c r="C145" s="5" t="s">
        <v>1531</v>
      </c>
      <c r="D145" s="3" t="s">
        <v>1532</v>
      </c>
      <c r="E145" s="3" t="s">
        <v>922</v>
      </c>
      <c r="F145" s="3" t="s">
        <v>1533</v>
      </c>
    </row>
    <row r="146" spans="1:6" ht="15.75" customHeight="1" x14ac:dyDescent="0.35">
      <c r="A146" s="3">
        <v>145</v>
      </c>
      <c r="B146" s="3">
        <v>57</v>
      </c>
      <c r="C146" s="5" t="s">
        <v>1534</v>
      </c>
      <c r="D146" s="3" t="s">
        <v>1535</v>
      </c>
      <c r="E146" s="3" t="s">
        <v>922</v>
      </c>
      <c r="F146" s="3" t="s">
        <v>1536</v>
      </c>
    </row>
    <row r="147" spans="1:6" ht="15.75" customHeight="1" x14ac:dyDescent="0.35">
      <c r="A147" s="3">
        <v>146</v>
      </c>
      <c r="B147" s="3">
        <v>57</v>
      </c>
      <c r="C147" s="5" t="s">
        <v>1537</v>
      </c>
      <c r="D147" s="3" t="s">
        <v>1538</v>
      </c>
      <c r="E147" s="3" t="s">
        <v>918</v>
      </c>
      <c r="F147" s="3" t="s">
        <v>1539</v>
      </c>
    </row>
    <row r="148" spans="1:6" ht="15.75" customHeight="1" x14ac:dyDescent="0.35">
      <c r="A148" s="3">
        <v>147</v>
      </c>
      <c r="B148" s="3">
        <v>57</v>
      </c>
      <c r="C148" s="5" t="s">
        <v>1540</v>
      </c>
      <c r="D148" s="3" t="s">
        <v>1541</v>
      </c>
      <c r="E148" s="3" t="s">
        <v>918</v>
      </c>
      <c r="F148" s="3" t="s">
        <v>1542</v>
      </c>
    </row>
    <row r="149" spans="1:6" ht="15.75" customHeight="1" x14ac:dyDescent="0.35">
      <c r="A149" s="3">
        <v>148</v>
      </c>
      <c r="B149" s="3">
        <v>57</v>
      </c>
      <c r="C149" s="5" t="s">
        <v>1543</v>
      </c>
      <c r="D149" s="3" t="s">
        <v>1544</v>
      </c>
      <c r="E149" s="3" t="s">
        <v>922</v>
      </c>
      <c r="F149" s="3" t="s">
        <v>1545</v>
      </c>
    </row>
    <row r="150" spans="1:6" ht="15.75" customHeight="1" x14ac:dyDescent="0.35">
      <c r="A150" s="3">
        <v>149</v>
      </c>
      <c r="B150" s="3">
        <v>57</v>
      </c>
      <c r="C150" s="5" t="s">
        <v>1546</v>
      </c>
      <c r="D150" s="3" t="s">
        <v>1547</v>
      </c>
      <c r="E150" s="3" t="s">
        <v>922</v>
      </c>
      <c r="F150" s="3" t="s">
        <v>1548</v>
      </c>
    </row>
    <row r="151" spans="1:6" ht="15.75" customHeight="1" x14ac:dyDescent="0.35">
      <c r="A151" s="3">
        <v>150</v>
      </c>
      <c r="B151" s="3">
        <v>57</v>
      </c>
      <c r="C151" s="5" t="s">
        <v>1549</v>
      </c>
      <c r="D151" s="3" t="s">
        <v>932</v>
      </c>
      <c r="E151" s="3" t="s">
        <v>911</v>
      </c>
      <c r="F151" s="3" t="s">
        <v>1550</v>
      </c>
    </row>
    <row r="152" spans="1:6" ht="15.75" customHeight="1" x14ac:dyDescent="0.35">
      <c r="A152" s="3">
        <v>151</v>
      </c>
      <c r="B152" s="3">
        <v>57</v>
      </c>
      <c r="C152" s="5" t="s">
        <v>1551</v>
      </c>
      <c r="D152" s="3" t="s">
        <v>1552</v>
      </c>
      <c r="E152" s="3" t="s">
        <v>922</v>
      </c>
      <c r="F152" s="3" t="s">
        <v>1553</v>
      </c>
    </row>
    <row r="153" spans="1:6" ht="15.75" customHeight="1" x14ac:dyDescent="0.35">
      <c r="A153" s="3">
        <v>152</v>
      </c>
      <c r="B153" s="3">
        <v>57</v>
      </c>
      <c r="C153" s="5" t="s">
        <v>1554</v>
      </c>
      <c r="D153" s="3" t="s">
        <v>1555</v>
      </c>
      <c r="E153" s="3" t="s">
        <v>922</v>
      </c>
      <c r="F153" s="3" t="s">
        <v>1556</v>
      </c>
    </row>
    <row r="154" spans="1:6" ht="15.75" customHeight="1" x14ac:dyDescent="0.35">
      <c r="A154" s="3">
        <v>153</v>
      </c>
      <c r="B154" s="3">
        <v>58</v>
      </c>
      <c r="C154" s="5" t="s">
        <v>1557</v>
      </c>
      <c r="D154" s="3" t="s">
        <v>1558</v>
      </c>
      <c r="E154" s="3" t="s">
        <v>922</v>
      </c>
      <c r="F154" s="3" t="s">
        <v>1559</v>
      </c>
    </row>
    <row r="155" spans="1:6" ht="15.75" customHeight="1" x14ac:dyDescent="0.35">
      <c r="A155" s="3">
        <v>154</v>
      </c>
      <c r="B155" s="3">
        <v>58</v>
      </c>
      <c r="C155" s="5" t="s">
        <v>1560</v>
      </c>
      <c r="D155" s="3" t="s">
        <v>1561</v>
      </c>
      <c r="E155" s="3" t="s">
        <v>918</v>
      </c>
      <c r="F155" s="3" t="s">
        <v>1562</v>
      </c>
    </row>
    <row r="156" spans="1:6" ht="15.75" customHeight="1" x14ac:dyDescent="0.35">
      <c r="A156" s="3">
        <v>155</v>
      </c>
      <c r="B156" s="3">
        <v>58</v>
      </c>
      <c r="C156" s="5" t="s">
        <v>1563</v>
      </c>
      <c r="D156" s="3" t="s">
        <v>1564</v>
      </c>
      <c r="E156" s="3" t="s">
        <v>911</v>
      </c>
      <c r="F156" s="3" t="s">
        <v>1565</v>
      </c>
    </row>
    <row r="157" spans="1:6" ht="15.75" customHeight="1" x14ac:dyDescent="0.35">
      <c r="A157" s="3">
        <v>156</v>
      </c>
      <c r="B157" s="3">
        <v>58</v>
      </c>
      <c r="C157" s="5" t="s">
        <v>1566</v>
      </c>
      <c r="D157" s="3" t="s">
        <v>1567</v>
      </c>
      <c r="E157" s="3" t="s">
        <v>922</v>
      </c>
      <c r="F157" s="3" t="s">
        <v>1568</v>
      </c>
    </row>
    <row r="158" spans="1:6" ht="15.75" customHeight="1" x14ac:dyDescent="0.35">
      <c r="A158" s="3">
        <v>157</v>
      </c>
      <c r="B158" s="3">
        <v>58</v>
      </c>
      <c r="C158" s="5" t="s">
        <v>1569</v>
      </c>
      <c r="D158" s="3" t="s">
        <v>953</v>
      </c>
      <c r="E158" s="3" t="s">
        <v>911</v>
      </c>
      <c r="F158" s="3" t="s">
        <v>1570</v>
      </c>
    </row>
    <row r="159" spans="1:6" ht="15.75" customHeight="1" x14ac:dyDescent="0.35">
      <c r="A159" s="3">
        <v>158</v>
      </c>
      <c r="B159" s="3">
        <v>58</v>
      </c>
      <c r="C159" s="5" t="s">
        <v>1571</v>
      </c>
      <c r="D159" s="3" t="s">
        <v>1572</v>
      </c>
      <c r="E159" s="3" t="s">
        <v>970</v>
      </c>
      <c r="F159" s="3" t="s">
        <v>1573</v>
      </c>
    </row>
    <row r="160" spans="1:6" ht="15.75" customHeight="1" x14ac:dyDescent="0.35">
      <c r="A160" s="3">
        <v>159</v>
      </c>
      <c r="B160" s="3">
        <v>58</v>
      </c>
      <c r="C160" s="5" t="s">
        <v>1574</v>
      </c>
      <c r="D160" s="3" t="s">
        <v>1575</v>
      </c>
      <c r="E160" s="3" t="s">
        <v>970</v>
      </c>
      <c r="F160" s="3" t="s">
        <v>1576</v>
      </c>
    </row>
    <row r="161" spans="1:6" ht="15.75" customHeight="1" x14ac:dyDescent="0.35">
      <c r="A161" s="3">
        <v>160</v>
      </c>
      <c r="B161" s="3">
        <v>58</v>
      </c>
      <c r="C161" s="5" t="s">
        <v>1577</v>
      </c>
      <c r="D161" s="3" t="s">
        <v>965</v>
      </c>
      <c r="E161" s="3" t="s">
        <v>922</v>
      </c>
      <c r="F161" s="3" t="s">
        <v>1578</v>
      </c>
    </row>
    <row r="162" spans="1:6" ht="15.75" customHeight="1" x14ac:dyDescent="0.35">
      <c r="A162" s="3">
        <v>161</v>
      </c>
      <c r="B162" s="3">
        <v>59</v>
      </c>
      <c r="C162" s="5" t="s">
        <v>1579</v>
      </c>
      <c r="D162" s="3" t="s">
        <v>1580</v>
      </c>
      <c r="E162" s="3" t="s">
        <v>922</v>
      </c>
      <c r="F162" s="3" t="s">
        <v>1581</v>
      </c>
    </row>
    <row r="163" spans="1:6" ht="15.75" customHeight="1" x14ac:dyDescent="0.35">
      <c r="A163" s="3">
        <v>162</v>
      </c>
      <c r="B163" s="3">
        <v>59</v>
      </c>
      <c r="C163" s="5" t="s">
        <v>1582</v>
      </c>
      <c r="D163" s="3" t="s">
        <v>1583</v>
      </c>
      <c r="E163" s="3" t="s">
        <v>922</v>
      </c>
      <c r="F163" s="3" t="s">
        <v>1584</v>
      </c>
    </row>
    <row r="164" spans="1:6" ht="15.75" customHeight="1" x14ac:dyDescent="0.35">
      <c r="A164" s="3">
        <v>163</v>
      </c>
      <c r="B164" s="3">
        <v>59</v>
      </c>
      <c r="C164" s="5" t="s">
        <v>1585</v>
      </c>
      <c r="D164" s="3" t="s">
        <v>1586</v>
      </c>
      <c r="E164" s="3" t="s">
        <v>911</v>
      </c>
      <c r="F164" s="3" t="s">
        <v>1587</v>
      </c>
    </row>
    <row r="165" spans="1:6" ht="15.75" customHeight="1" x14ac:dyDescent="0.35">
      <c r="A165" s="3">
        <v>164</v>
      </c>
      <c r="B165" s="3">
        <v>59</v>
      </c>
      <c r="C165" s="5" t="s">
        <v>1588</v>
      </c>
      <c r="D165" s="3" t="s">
        <v>1589</v>
      </c>
      <c r="E165" s="3" t="s">
        <v>922</v>
      </c>
      <c r="F165" s="3" t="s">
        <v>1590</v>
      </c>
    </row>
    <row r="166" spans="1:6" ht="15.75" customHeight="1" x14ac:dyDescent="0.35">
      <c r="A166" s="3">
        <v>165</v>
      </c>
      <c r="B166" s="3">
        <v>59</v>
      </c>
      <c r="C166" s="5" t="s">
        <v>1591</v>
      </c>
      <c r="D166" s="3" t="s">
        <v>1592</v>
      </c>
      <c r="E166" s="3" t="s">
        <v>911</v>
      </c>
      <c r="F166" s="3" t="s">
        <v>1593</v>
      </c>
    </row>
    <row r="167" spans="1:6" ht="15.75" customHeight="1" x14ac:dyDescent="0.35">
      <c r="A167" s="3">
        <v>166</v>
      </c>
      <c r="B167" s="3">
        <v>59</v>
      </c>
      <c r="C167" s="5" t="s">
        <v>1594</v>
      </c>
      <c r="D167" s="3" t="s">
        <v>1595</v>
      </c>
      <c r="E167" s="3" t="s">
        <v>911</v>
      </c>
      <c r="F167" s="3" t="s">
        <v>1596</v>
      </c>
    </row>
    <row r="168" spans="1:6" ht="15.75" customHeight="1" x14ac:dyDescent="0.35">
      <c r="A168" s="3">
        <v>167</v>
      </c>
      <c r="B168" s="3">
        <v>59</v>
      </c>
      <c r="C168" s="5" t="s">
        <v>1597</v>
      </c>
      <c r="D168" s="3" t="s">
        <v>1592</v>
      </c>
      <c r="E168" s="3" t="s">
        <v>1045</v>
      </c>
      <c r="F168" s="3" t="s">
        <v>1598</v>
      </c>
    </row>
    <row r="169" spans="1:6" ht="15.75" customHeight="1" x14ac:dyDescent="0.35">
      <c r="A169" s="3">
        <v>168</v>
      </c>
      <c r="B169" s="3">
        <v>59</v>
      </c>
      <c r="C169" s="5" t="s">
        <v>1599</v>
      </c>
      <c r="D169" s="3" t="s">
        <v>1600</v>
      </c>
      <c r="E169" s="3" t="s">
        <v>922</v>
      </c>
      <c r="F169" s="3" t="s">
        <v>1601</v>
      </c>
    </row>
    <row r="170" spans="1:6" ht="15.75" customHeight="1" x14ac:dyDescent="0.35">
      <c r="A170" s="3">
        <v>169</v>
      </c>
      <c r="B170" s="3">
        <v>60</v>
      </c>
      <c r="C170" s="5" t="s">
        <v>1602</v>
      </c>
      <c r="D170" s="3" t="s">
        <v>1603</v>
      </c>
      <c r="E170" s="3" t="s">
        <v>911</v>
      </c>
      <c r="F170" s="3" t="s">
        <v>1604</v>
      </c>
    </row>
    <row r="171" spans="1:6" ht="15.75" customHeight="1" x14ac:dyDescent="0.35">
      <c r="A171" s="3">
        <v>170</v>
      </c>
      <c r="B171" s="3">
        <v>60</v>
      </c>
      <c r="C171" s="5" t="s">
        <v>1605</v>
      </c>
      <c r="D171" s="3" t="s">
        <v>1606</v>
      </c>
      <c r="E171" s="3" t="s">
        <v>918</v>
      </c>
      <c r="F171" s="3" t="s">
        <v>1607</v>
      </c>
    </row>
    <row r="172" spans="1:6" ht="15.75" customHeight="1" x14ac:dyDescent="0.35">
      <c r="A172" s="3">
        <v>171</v>
      </c>
      <c r="B172" s="3">
        <v>60</v>
      </c>
      <c r="C172" s="5" t="s">
        <v>1608</v>
      </c>
      <c r="D172" s="3" t="s">
        <v>1609</v>
      </c>
      <c r="E172" s="3" t="s">
        <v>1610</v>
      </c>
      <c r="F172" s="3" t="s">
        <v>1611</v>
      </c>
    </row>
    <row r="173" spans="1:6" ht="15.75" customHeight="1" x14ac:dyDescent="0.35">
      <c r="A173" s="3">
        <v>172</v>
      </c>
      <c r="B173" s="3">
        <v>60</v>
      </c>
      <c r="C173" s="5" t="s">
        <v>1612</v>
      </c>
      <c r="D173" s="3" t="s">
        <v>1613</v>
      </c>
      <c r="E173" s="3" t="s">
        <v>911</v>
      </c>
      <c r="F173" s="3" t="s">
        <v>1614</v>
      </c>
    </row>
    <row r="174" spans="1:6" ht="15.75" customHeight="1" x14ac:dyDescent="0.35">
      <c r="A174" s="3">
        <v>173</v>
      </c>
      <c r="B174" s="3">
        <v>60</v>
      </c>
      <c r="C174" s="5" t="s">
        <v>1615</v>
      </c>
      <c r="D174" s="3" t="s">
        <v>1616</v>
      </c>
      <c r="E174" s="3" t="s">
        <v>1610</v>
      </c>
      <c r="F174" s="3" t="s">
        <v>1617</v>
      </c>
    </row>
    <row r="175" spans="1:6" ht="15.75" customHeight="1" x14ac:dyDescent="0.35">
      <c r="A175" s="3">
        <v>174</v>
      </c>
      <c r="B175" s="3">
        <v>60</v>
      </c>
      <c r="C175" s="5" t="s">
        <v>1618</v>
      </c>
      <c r="D175" s="3" t="s">
        <v>1619</v>
      </c>
      <c r="E175" s="3" t="s">
        <v>970</v>
      </c>
      <c r="F175" s="3" t="s">
        <v>1620</v>
      </c>
    </row>
    <row r="176" spans="1:6" ht="15.75" customHeight="1" x14ac:dyDescent="0.35">
      <c r="A176" s="3">
        <v>175</v>
      </c>
      <c r="B176" s="3">
        <v>60</v>
      </c>
      <c r="C176" s="5" t="s">
        <v>1621</v>
      </c>
      <c r="D176" s="3" t="s">
        <v>1622</v>
      </c>
      <c r="E176" s="3" t="s">
        <v>911</v>
      </c>
      <c r="F176" s="3" t="s">
        <v>1623</v>
      </c>
    </row>
    <row r="177" spans="1:6" ht="15.75" customHeight="1" x14ac:dyDescent="0.35">
      <c r="A177" s="3">
        <v>176</v>
      </c>
      <c r="B177" s="3">
        <v>60</v>
      </c>
      <c r="C177" s="5" t="s">
        <v>1624</v>
      </c>
      <c r="D177" s="3" t="s">
        <v>1625</v>
      </c>
      <c r="E177" s="3" t="s">
        <v>993</v>
      </c>
      <c r="F177" s="3" t="s">
        <v>1626</v>
      </c>
    </row>
    <row r="178" spans="1:6" ht="15.75" customHeight="1" x14ac:dyDescent="0.35">
      <c r="A178" s="3">
        <v>177</v>
      </c>
      <c r="B178" s="3">
        <v>61</v>
      </c>
      <c r="C178" s="5" t="s">
        <v>1627</v>
      </c>
      <c r="D178" s="3" t="s">
        <v>1628</v>
      </c>
      <c r="E178" s="3" t="s">
        <v>1629</v>
      </c>
      <c r="F178" s="3" t="s">
        <v>1630</v>
      </c>
    </row>
    <row r="179" spans="1:6" ht="15.75" customHeight="1" x14ac:dyDescent="0.35">
      <c r="A179" s="3">
        <v>178</v>
      </c>
      <c r="B179" s="3">
        <v>61</v>
      </c>
      <c r="C179" s="5" t="s">
        <v>1631</v>
      </c>
      <c r="D179" s="3" t="s">
        <v>1632</v>
      </c>
      <c r="E179" s="3" t="s">
        <v>911</v>
      </c>
      <c r="F179" s="3" t="s">
        <v>1633</v>
      </c>
    </row>
    <row r="180" spans="1:6" ht="15.75" customHeight="1" x14ac:dyDescent="0.35">
      <c r="A180" s="3">
        <v>179</v>
      </c>
      <c r="B180" s="3">
        <v>61</v>
      </c>
      <c r="C180" s="5" t="s">
        <v>1634</v>
      </c>
      <c r="D180" s="3" t="s">
        <v>1635</v>
      </c>
      <c r="E180" s="3" t="s">
        <v>911</v>
      </c>
      <c r="F180" s="3" t="s">
        <v>1636</v>
      </c>
    </row>
    <row r="181" spans="1:6" ht="15.75" customHeight="1" x14ac:dyDescent="0.35">
      <c r="A181" s="3">
        <v>180</v>
      </c>
      <c r="B181" s="3">
        <v>61</v>
      </c>
      <c r="C181" s="5" t="s">
        <v>1637</v>
      </c>
      <c r="D181" s="3" t="s">
        <v>1638</v>
      </c>
      <c r="E181" s="3" t="s">
        <v>918</v>
      </c>
      <c r="F181" s="3" t="s">
        <v>1639</v>
      </c>
    </row>
    <row r="182" spans="1:6" ht="15.75" customHeight="1" x14ac:dyDescent="0.35">
      <c r="A182" s="3">
        <v>181</v>
      </c>
      <c r="B182" s="3">
        <v>61</v>
      </c>
      <c r="C182" s="5" t="s">
        <v>1640</v>
      </c>
      <c r="D182" s="3" t="s">
        <v>1641</v>
      </c>
      <c r="E182" s="3" t="s">
        <v>918</v>
      </c>
      <c r="F182" s="3" t="s">
        <v>1642</v>
      </c>
    </row>
    <row r="183" spans="1:6" ht="15.75" customHeight="1" x14ac:dyDescent="0.35">
      <c r="A183" s="3">
        <v>182</v>
      </c>
      <c r="B183" s="3">
        <v>61</v>
      </c>
      <c r="C183" s="5" t="s">
        <v>1643</v>
      </c>
      <c r="D183" s="3" t="s">
        <v>1644</v>
      </c>
      <c r="E183" s="3" t="s">
        <v>911</v>
      </c>
      <c r="F183" s="3" t="s">
        <v>1645</v>
      </c>
    </row>
    <row r="184" spans="1:6" ht="15.75" customHeight="1" x14ac:dyDescent="0.35">
      <c r="A184" s="3">
        <v>183</v>
      </c>
      <c r="B184" s="3">
        <v>61</v>
      </c>
      <c r="C184" s="5" t="s">
        <v>1646</v>
      </c>
      <c r="D184" s="3" t="s">
        <v>1647</v>
      </c>
      <c r="E184" s="3" t="s">
        <v>970</v>
      </c>
      <c r="F184" s="3" t="s">
        <v>1648</v>
      </c>
    </row>
    <row r="185" spans="1:6" ht="15.75" customHeight="1" x14ac:dyDescent="0.35">
      <c r="A185" s="3">
        <v>184</v>
      </c>
      <c r="B185" s="3">
        <v>61</v>
      </c>
      <c r="C185" s="5" t="s">
        <v>1649</v>
      </c>
      <c r="D185" s="3" t="s">
        <v>1650</v>
      </c>
      <c r="E185" s="3" t="s">
        <v>993</v>
      </c>
      <c r="F185" s="3" t="s">
        <v>1651</v>
      </c>
    </row>
    <row r="186" spans="1:6" ht="15.75" customHeight="1" x14ac:dyDescent="0.35">
      <c r="A186" s="3">
        <v>185</v>
      </c>
      <c r="B186" s="3">
        <v>62</v>
      </c>
      <c r="C186" s="5" t="s">
        <v>1652</v>
      </c>
      <c r="D186" s="3" t="s">
        <v>1653</v>
      </c>
      <c r="E186" s="3" t="s">
        <v>922</v>
      </c>
      <c r="F186" s="3" t="s">
        <v>1654</v>
      </c>
    </row>
    <row r="187" spans="1:6" ht="15.75" customHeight="1" x14ac:dyDescent="0.35">
      <c r="A187" s="3">
        <v>186</v>
      </c>
      <c r="B187" s="3">
        <v>62</v>
      </c>
      <c r="C187" s="5" t="s">
        <v>1655</v>
      </c>
      <c r="D187" s="3" t="s">
        <v>1656</v>
      </c>
      <c r="E187" s="3" t="s">
        <v>1629</v>
      </c>
      <c r="F187" s="3" t="s">
        <v>1657</v>
      </c>
    </row>
    <row r="188" spans="1:6" ht="15.75" customHeight="1" x14ac:dyDescent="0.35">
      <c r="A188" s="3">
        <v>187</v>
      </c>
      <c r="B188" s="3">
        <v>62</v>
      </c>
      <c r="C188" s="5" t="s">
        <v>1658</v>
      </c>
      <c r="D188" s="3" t="s">
        <v>1659</v>
      </c>
      <c r="E188" s="3" t="s">
        <v>922</v>
      </c>
      <c r="F188" s="3" t="s">
        <v>1660</v>
      </c>
    </row>
    <row r="189" spans="1:6" ht="15.75" customHeight="1" x14ac:dyDescent="0.35">
      <c r="A189" s="3">
        <v>188</v>
      </c>
      <c r="B189" s="3">
        <v>62</v>
      </c>
      <c r="C189" s="5" t="s">
        <v>1661</v>
      </c>
      <c r="D189" s="3" t="s">
        <v>1662</v>
      </c>
      <c r="E189" s="3" t="s">
        <v>911</v>
      </c>
      <c r="F189" s="3" t="s">
        <v>1663</v>
      </c>
    </row>
    <row r="190" spans="1:6" ht="15.75" customHeight="1" x14ac:dyDescent="0.35">
      <c r="A190" s="3">
        <v>189</v>
      </c>
      <c r="B190" s="3">
        <v>62</v>
      </c>
      <c r="C190" s="5" t="s">
        <v>1664</v>
      </c>
      <c r="D190" s="3" t="s">
        <v>1665</v>
      </c>
      <c r="E190" s="3" t="s">
        <v>911</v>
      </c>
      <c r="F190" s="3" t="s">
        <v>1666</v>
      </c>
    </row>
    <row r="191" spans="1:6" ht="15.75" customHeight="1" x14ac:dyDescent="0.35">
      <c r="A191" s="3">
        <v>190</v>
      </c>
      <c r="B191" s="3">
        <v>62</v>
      </c>
      <c r="C191" s="5" t="s">
        <v>1667</v>
      </c>
      <c r="D191" s="3" t="s">
        <v>1668</v>
      </c>
      <c r="E191" s="3" t="s">
        <v>922</v>
      </c>
      <c r="F191" s="3" t="s">
        <v>1669</v>
      </c>
    </row>
    <row r="192" spans="1:6" ht="15.75" customHeight="1" x14ac:dyDescent="0.35">
      <c r="A192" s="3">
        <v>191</v>
      </c>
      <c r="B192" s="3">
        <v>62</v>
      </c>
      <c r="C192" s="5" t="s">
        <v>1670</v>
      </c>
      <c r="D192" s="3" t="s">
        <v>1671</v>
      </c>
      <c r="E192" s="3" t="s">
        <v>922</v>
      </c>
      <c r="F192" s="3" t="s">
        <v>1672</v>
      </c>
    </row>
    <row r="193" spans="1:6" ht="15.75" customHeight="1" x14ac:dyDescent="0.35">
      <c r="A193" s="3">
        <v>192</v>
      </c>
      <c r="B193" s="3">
        <v>62</v>
      </c>
      <c r="C193" s="5" t="s">
        <v>1673</v>
      </c>
      <c r="D193" s="3" t="s">
        <v>1674</v>
      </c>
      <c r="E193" s="3" t="s">
        <v>922</v>
      </c>
      <c r="F193" s="3" t="s">
        <v>1675</v>
      </c>
    </row>
    <row r="194" spans="1:6" ht="15.75" customHeight="1" x14ac:dyDescent="0.35">
      <c r="A194" s="3">
        <v>193</v>
      </c>
      <c r="B194" s="3">
        <v>64</v>
      </c>
      <c r="C194" s="5" t="s">
        <v>1676</v>
      </c>
      <c r="D194" s="3" t="s">
        <v>486</v>
      </c>
      <c r="E194" s="3" t="s">
        <v>911</v>
      </c>
      <c r="F194" s="3" t="s">
        <v>1677</v>
      </c>
    </row>
    <row r="195" spans="1:6" ht="15.75" customHeight="1" x14ac:dyDescent="0.35">
      <c r="A195" s="3">
        <v>194</v>
      </c>
      <c r="B195" s="3">
        <v>64</v>
      </c>
      <c r="C195" s="5" t="s">
        <v>1678</v>
      </c>
      <c r="D195" s="3" t="s">
        <v>1679</v>
      </c>
      <c r="E195" s="3" t="s">
        <v>1629</v>
      </c>
      <c r="F195" s="3" t="s">
        <v>1680</v>
      </c>
    </row>
    <row r="196" spans="1:6" ht="15.75" customHeight="1" x14ac:dyDescent="0.35">
      <c r="A196" s="3">
        <v>195</v>
      </c>
      <c r="B196" s="3">
        <v>64</v>
      </c>
      <c r="C196" s="5" t="s">
        <v>1681</v>
      </c>
      <c r="D196" s="3" t="s">
        <v>1002</v>
      </c>
      <c r="E196" s="3" t="s">
        <v>918</v>
      </c>
      <c r="F196" s="3" t="s">
        <v>1682</v>
      </c>
    </row>
    <row r="197" spans="1:6" ht="15.75" customHeight="1" x14ac:dyDescent="0.35">
      <c r="A197" s="3">
        <v>196</v>
      </c>
      <c r="B197" s="3">
        <v>64</v>
      </c>
      <c r="C197" s="5" t="s">
        <v>1683</v>
      </c>
      <c r="D197" s="3" t="s">
        <v>1684</v>
      </c>
      <c r="E197" s="3" t="s">
        <v>918</v>
      </c>
      <c r="F197" s="3" t="s">
        <v>1685</v>
      </c>
    </row>
    <row r="198" spans="1:6" ht="15.75" customHeight="1" x14ac:dyDescent="0.35">
      <c r="A198" s="3">
        <v>197</v>
      </c>
      <c r="B198" s="3">
        <v>64</v>
      </c>
      <c r="C198" s="5" t="s">
        <v>1686</v>
      </c>
      <c r="D198" s="3" t="s">
        <v>1687</v>
      </c>
      <c r="E198" s="3" t="s">
        <v>918</v>
      </c>
      <c r="F198" s="3" t="s">
        <v>1688</v>
      </c>
    </row>
    <row r="199" spans="1:6" ht="15.75" customHeight="1" x14ac:dyDescent="0.35">
      <c r="A199" s="3">
        <v>198</v>
      </c>
      <c r="B199" s="3">
        <v>64</v>
      </c>
      <c r="C199" s="5" t="s">
        <v>1689</v>
      </c>
      <c r="D199" s="3" t="s">
        <v>1690</v>
      </c>
      <c r="E199" s="3" t="s">
        <v>922</v>
      </c>
      <c r="F199" s="3" t="s">
        <v>1691</v>
      </c>
    </row>
    <row r="200" spans="1:6" ht="15.75" customHeight="1" x14ac:dyDescent="0.35">
      <c r="A200" s="3">
        <v>199</v>
      </c>
      <c r="B200" s="3">
        <v>64</v>
      </c>
      <c r="C200" s="5" t="s">
        <v>1692</v>
      </c>
      <c r="D200" s="3" t="s">
        <v>1693</v>
      </c>
      <c r="E200" s="3" t="s">
        <v>911</v>
      </c>
      <c r="F200" s="3" t="s">
        <v>1694</v>
      </c>
    </row>
    <row r="201" spans="1:6" ht="15.75" customHeight="1" x14ac:dyDescent="0.35">
      <c r="A201" s="3">
        <v>200</v>
      </c>
      <c r="B201" s="3">
        <v>64</v>
      </c>
      <c r="C201" s="5" t="s">
        <v>1695</v>
      </c>
      <c r="D201" s="3" t="s">
        <v>1696</v>
      </c>
      <c r="E201" s="3" t="s">
        <v>922</v>
      </c>
      <c r="F201" s="3" t="s">
        <v>1697</v>
      </c>
    </row>
    <row r="202" spans="1:6" ht="15.75" customHeight="1" x14ac:dyDescent="0.35">
      <c r="A202" s="3">
        <v>201</v>
      </c>
      <c r="B202" s="3">
        <v>65</v>
      </c>
      <c r="C202" s="5" t="s">
        <v>1698</v>
      </c>
      <c r="D202" s="3" t="s">
        <v>1699</v>
      </c>
      <c r="E202" s="3" t="s">
        <v>922</v>
      </c>
      <c r="F202" s="3" t="s">
        <v>1700</v>
      </c>
    </row>
    <row r="203" spans="1:6" ht="15.75" customHeight="1" x14ac:dyDescent="0.35">
      <c r="A203" s="3">
        <v>202</v>
      </c>
      <c r="B203" s="3">
        <v>65</v>
      </c>
      <c r="C203" s="5" t="s">
        <v>1701</v>
      </c>
      <c r="D203" s="3" t="s">
        <v>1702</v>
      </c>
      <c r="E203" s="3" t="s">
        <v>911</v>
      </c>
      <c r="F203" s="3" t="s">
        <v>1703</v>
      </c>
    </row>
    <row r="204" spans="1:6" ht="15.75" customHeight="1" x14ac:dyDescent="0.35">
      <c r="A204" s="3">
        <v>203</v>
      </c>
      <c r="B204" s="3">
        <v>65</v>
      </c>
      <c r="C204" s="5" t="s">
        <v>1704</v>
      </c>
      <c r="D204" s="3" t="s">
        <v>1705</v>
      </c>
      <c r="E204" s="3" t="s">
        <v>911</v>
      </c>
      <c r="F204" s="3" t="s">
        <v>1706</v>
      </c>
    </row>
    <row r="205" spans="1:6" ht="15.75" customHeight="1" x14ac:dyDescent="0.35">
      <c r="A205" s="3">
        <v>204</v>
      </c>
      <c r="B205" s="3">
        <v>65</v>
      </c>
      <c r="C205" s="5" t="s">
        <v>1707</v>
      </c>
      <c r="D205" s="3" t="s">
        <v>1708</v>
      </c>
      <c r="E205" s="3" t="s">
        <v>922</v>
      </c>
      <c r="F205" s="3" t="s">
        <v>1709</v>
      </c>
    </row>
    <row r="206" spans="1:6" ht="15.75" customHeight="1" x14ac:dyDescent="0.35">
      <c r="A206" s="3">
        <v>205</v>
      </c>
      <c r="B206" s="3">
        <v>65</v>
      </c>
      <c r="C206" s="5" t="s">
        <v>1710</v>
      </c>
      <c r="D206" s="3" t="s">
        <v>1711</v>
      </c>
      <c r="E206" s="3" t="s">
        <v>911</v>
      </c>
      <c r="F206" s="3" t="s">
        <v>1706</v>
      </c>
    </row>
    <row r="207" spans="1:6" ht="15.75" customHeight="1" x14ac:dyDescent="0.35">
      <c r="A207" s="3">
        <v>206</v>
      </c>
      <c r="B207" s="3">
        <v>65</v>
      </c>
      <c r="C207" s="5" t="s">
        <v>1712</v>
      </c>
      <c r="D207" s="3" t="s">
        <v>1713</v>
      </c>
      <c r="E207" s="3" t="s">
        <v>911</v>
      </c>
      <c r="F207" s="3" t="s">
        <v>1714</v>
      </c>
    </row>
    <row r="208" spans="1:6" ht="15.75" customHeight="1" x14ac:dyDescent="0.35">
      <c r="A208" s="3">
        <v>207</v>
      </c>
      <c r="B208" s="3">
        <v>65</v>
      </c>
      <c r="C208" s="5" t="s">
        <v>1715</v>
      </c>
      <c r="D208" s="3" t="s">
        <v>1716</v>
      </c>
      <c r="E208" s="3" t="s">
        <v>1629</v>
      </c>
      <c r="F208" s="3" t="s">
        <v>1717</v>
      </c>
    </row>
    <row r="209" spans="1:6" ht="15.75" customHeight="1" x14ac:dyDescent="0.35">
      <c r="A209" s="3">
        <v>208</v>
      </c>
      <c r="B209" s="3">
        <v>65</v>
      </c>
      <c r="C209" s="5" t="s">
        <v>1718</v>
      </c>
      <c r="D209" s="3" t="s">
        <v>1719</v>
      </c>
      <c r="E209" s="3" t="s">
        <v>911</v>
      </c>
      <c r="F209" s="3" t="s">
        <v>1720</v>
      </c>
    </row>
    <row r="210" spans="1:6" ht="15.75" customHeight="1" x14ac:dyDescent="0.35">
      <c r="A210" s="3">
        <v>209</v>
      </c>
      <c r="B210" s="3">
        <v>66</v>
      </c>
      <c r="C210" s="5" t="s">
        <v>1721</v>
      </c>
      <c r="D210" s="3" t="s">
        <v>1722</v>
      </c>
      <c r="E210" s="3" t="s">
        <v>911</v>
      </c>
      <c r="F210" s="3" t="s">
        <v>1723</v>
      </c>
    </row>
    <row r="211" spans="1:6" ht="15.75" customHeight="1" x14ac:dyDescent="0.35">
      <c r="A211" s="3">
        <v>210</v>
      </c>
      <c r="B211" s="3">
        <v>66</v>
      </c>
      <c r="C211" s="5" t="s">
        <v>1724</v>
      </c>
      <c r="D211" s="3" t="s">
        <v>1725</v>
      </c>
      <c r="E211" s="3" t="s">
        <v>922</v>
      </c>
      <c r="F211" s="3" t="s">
        <v>1726</v>
      </c>
    </row>
    <row r="212" spans="1:6" ht="15.75" customHeight="1" x14ac:dyDescent="0.35">
      <c r="A212" s="3">
        <v>211</v>
      </c>
      <c r="B212" s="3">
        <v>66</v>
      </c>
      <c r="C212" s="5" t="s">
        <v>1727</v>
      </c>
      <c r="D212" s="3" t="s">
        <v>1728</v>
      </c>
      <c r="E212" s="3" t="s">
        <v>911</v>
      </c>
      <c r="F212" s="3" t="s">
        <v>1729</v>
      </c>
    </row>
    <row r="213" spans="1:6" ht="15.75" customHeight="1" x14ac:dyDescent="0.35">
      <c r="A213" s="3">
        <v>212</v>
      </c>
      <c r="B213" s="3">
        <v>66</v>
      </c>
      <c r="C213" s="5" t="s">
        <v>1730</v>
      </c>
      <c r="D213" s="3" t="s">
        <v>1731</v>
      </c>
      <c r="E213" s="3" t="s">
        <v>911</v>
      </c>
      <c r="F213" s="3" t="s">
        <v>1732</v>
      </c>
    </row>
    <row r="214" spans="1:6" ht="15.75" customHeight="1" x14ac:dyDescent="0.35">
      <c r="A214" s="3">
        <v>213</v>
      </c>
      <c r="B214" s="3">
        <v>66</v>
      </c>
      <c r="C214" s="5" t="s">
        <v>1733</v>
      </c>
      <c r="D214" s="3" t="s">
        <v>1734</v>
      </c>
      <c r="E214" s="3" t="s">
        <v>911</v>
      </c>
      <c r="F214" s="3" t="s">
        <v>1735</v>
      </c>
    </row>
    <row r="215" spans="1:6" ht="15.75" customHeight="1" x14ac:dyDescent="0.35">
      <c r="A215" s="3">
        <v>214</v>
      </c>
      <c r="B215" s="3">
        <v>66</v>
      </c>
      <c r="C215" s="5" t="s">
        <v>1736</v>
      </c>
      <c r="D215" s="3" t="s">
        <v>1737</v>
      </c>
      <c r="E215" s="3" t="s">
        <v>911</v>
      </c>
      <c r="F215" s="3" t="s">
        <v>1738</v>
      </c>
    </row>
    <row r="216" spans="1:6" ht="15.75" customHeight="1" x14ac:dyDescent="0.35">
      <c r="A216" s="3">
        <v>215</v>
      </c>
      <c r="B216" s="3">
        <v>66</v>
      </c>
      <c r="C216" s="5" t="s">
        <v>1739</v>
      </c>
      <c r="D216" s="3" t="s">
        <v>1740</v>
      </c>
      <c r="E216" s="3" t="s">
        <v>911</v>
      </c>
      <c r="F216" s="3" t="s">
        <v>1741</v>
      </c>
    </row>
    <row r="217" spans="1:6" ht="15.75" customHeight="1" x14ac:dyDescent="0.35">
      <c r="A217" s="3">
        <v>216</v>
      </c>
      <c r="B217" s="3">
        <v>66</v>
      </c>
      <c r="C217" s="5" t="s">
        <v>491</v>
      </c>
      <c r="D217" s="3" t="s">
        <v>492</v>
      </c>
      <c r="E217" s="3" t="s">
        <v>922</v>
      </c>
      <c r="F217" s="3" t="s">
        <v>1742</v>
      </c>
    </row>
    <row r="218" spans="1:6" ht="15.75" customHeight="1" x14ac:dyDescent="0.35">
      <c r="A218" s="3">
        <v>217</v>
      </c>
      <c r="B218" s="3">
        <v>67</v>
      </c>
      <c r="C218" s="5" t="s">
        <v>1743</v>
      </c>
      <c r="D218" s="3" t="s">
        <v>1744</v>
      </c>
      <c r="E218" s="3" t="s">
        <v>922</v>
      </c>
      <c r="F218" s="3" t="s">
        <v>1745</v>
      </c>
    </row>
    <row r="219" spans="1:6" ht="15.75" customHeight="1" x14ac:dyDescent="0.35">
      <c r="A219" s="3">
        <v>218</v>
      </c>
      <c r="B219" s="3">
        <v>67</v>
      </c>
      <c r="C219" s="5" t="s">
        <v>1746</v>
      </c>
      <c r="D219" s="3" t="s">
        <v>1747</v>
      </c>
      <c r="E219" s="3" t="s">
        <v>911</v>
      </c>
      <c r="F219" s="3" t="s">
        <v>1748</v>
      </c>
    </row>
    <row r="220" spans="1:6" ht="15.75" customHeight="1" x14ac:dyDescent="0.35">
      <c r="A220" s="3">
        <v>219</v>
      </c>
      <c r="B220" s="3">
        <v>67</v>
      </c>
      <c r="C220" s="5" t="s">
        <v>1749</v>
      </c>
      <c r="D220" s="3" t="s">
        <v>1750</v>
      </c>
      <c r="E220" s="3" t="s">
        <v>922</v>
      </c>
      <c r="F220" s="3" t="s">
        <v>1751</v>
      </c>
    </row>
    <row r="221" spans="1:6" ht="15.75" customHeight="1" x14ac:dyDescent="0.35">
      <c r="A221" s="3">
        <v>220</v>
      </c>
      <c r="B221" s="3">
        <v>67</v>
      </c>
      <c r="C221" s="5" t="s">
        <v>1752</v>
      </c>
      <c r="D221" s="3" t="s">
        <v>1753</v>
      </c>
      <c r="E221" s="3" t="s">
        <v>922</v>
      </c>
      <c r="F221" s="3" t="s">
        <v>1754</v>
      </c>
    </row>
    <row r="222" spans="1:6" ht="15.75" customHeight="1" x14ac:dyDescent="0.35">
      <c r="A222" s="3">
        <v>221</v>
      </c>
      <c r="B222" s="3">
        <v>67</v>
      </c>
      <c r="C222" s="5" t="s">
        <v>1755</v>
      </c>
      <c r="D222" s="3" t="s">
        <v>1756</v>
      </c>
      <c r="E222" s="3" t="s">
        <v>922</v>
      </c>
      <c r="F222" s="3" t="s">
        <v>1757</v>
      </c>
    </row>
    <row r="223" spans="1:6" ht="15.75" customHeight="1" x14ac:dyDescent="0.35">
      <c r="A223" s="3">
        <v>222</v>
      </c>
      <c r="B223" s="3">
        <v>67</v>
      </c>
      <c r="C223" s="5" t="s">
        <v>1758</v>
      </c>
      <c r="D223" s="3" t="s">
        <v>1759</v>
      </c>
      <c r="E223" s="3" t="s">
        <v>922</v>
      </c>
      <c r="F223" s="3" t="s">
        <v>1760</v>
      </c>
    </row>
    <row r="224" spans="1:6" ht="15.75" customHeight="1" x14ac:dyDescent="0.35">
      <c r="A224" s="3">
        <v>223</v>
      </c>
      <c r="B224" s="3">
        <v>67</v>
      </c>
      <c r="C224" s="5" t="s">
        <v>1761</v>
      </c>
      <c r="D224" s="3" t="s">
        <v>1762</v>
      </c>
      <c r="E224" s="3" t="s">
        <v>922</v>
      </c>
      <c r="F224" s="3" t="s">
        <v>1763</v>
      </c>
    </row>
    <row r="225" spans="1:6" ht="15.75" customHeight="1" x14ac:dyDescent="0.35">
      <c r="A225" s="3">
        <v>224</v>
      </c>
      <c r="B225" s="3">
        <v>67</v>
      </c>
      <c r="C225" s="5" t="s">
        <v>1764</v>
      </c>
      <c r="D225" s="3" t="s">
        <v>1765</v>
      </c>
      <c r="E225" s="3" t="s">
        <v>1629</v>
      </c>
      <c r="F225" s="3" t="s">
        <v>1766</v>
      </c>
    </row>
    <row r="226" spans="1:6" ht="15.75" customHeight="1" x14ac:dyDescent="0.35">
      <c r="A226" s="3">
        <v>225</v>
      </c>
      <c r="B226" s="3">
        <v>68</v>
      </c>
      <c r="C226" s="5" t="s">
        <v>1767</v>
      </c>
      <c r="D226" s="3" t="s">
        <v>1768</v>
      </c>
      <c r="E226" s="3" t="s">
        <v>911</v>
      </c>
      <c r="F226" s="3" t="s">
        <v>1769</v>
      </c>
    </row>
    <row r="227" spans="1:6" ht="15.75" customHeight="1" x14ac:dyDescent="0.35">
      <c r="A227" s="3">
        <v>226</v>
      </c>
      <c r="B227" s="3">
        <v>68</v>
      </c>
      <c r="C227" s="5" t="s">
        <v>1770</v>
      </c>
      <c r="D227" s="3" t="s">
        <v>1771</v>
      </c>
      <c r="E227" s="3" t="s">
        <v>911</v>
      </c>
      <c r="F227" s="3" t="s">
        <v>1772</v>
      </c>
    </row>
    <row r="228" spans="1:6" ht="15.75" customHeight="1" x14ac:dyDescent="0.35">
      <c r="A228" s="3">
        <v>227</v>
      </c>
      <c r="B228" s="3">
        <v>68</v>
      </c>
      <c r="C228" s="5" t="s">
        <v>1773</v>
      </c>
      <c r="D228" s="3" t="s">
        <v>1774</v>
      </c>
      <c r="E228" s="3" t="s">
        <v>911</v>
      </c>
      <c r="F228" s="3" t="s">
        <v>1775</v>
      </c>
    </row>
    <row r="229" spans="1:6" ht="15.75" customHeight="1" x14ac:dyDescent="0.35">
      <c r="A229" s="3">
        <v>228</v>
      </c>
      <c r="B229" s="3">
        <v>68</v>
      </c>
      <c r="C229" s="5" t="s">
        <v>1776</v>
      </c>
      <c r="D229" s="3" t="s">
        <v>1777</v>
      </c>
      <c r="E229" s="3" t="s">
        <v>911</v>
      </c>
      <c r="F229" s="3" t="s">
        <v>1778</v>
      </c>
    </row>
    <row r="230" spans="1:6" ht="15.75" customHeight="1" x14ac:dyDescent="0.35">
      <c r="A230" s="3">
        <v>229</v>
      </c>
      <c r="B230" s="3">
        <v>68</v>
      </c>
      <c r="C230" s="5" t="s">
        <v>1779</v>
      </c>
      <c r="D230" s="3" t="s">
        <v>1780</v>
      </c>
      <c r="E230" s="3" t="s">
        <v>922</v>
      </c>
      <c r="F230" s="3" t="s">
        <v>1781</v>
      </c>
    </row>
    <row r="231" spans="1:6" ht="15.75" customHeight="1" x14ac:dyDescent="0.35">
      <c r="A231" s="3">
        <v>230</v>
      </c>
      <c r="B231" s="3">
        <v>68</v>
      </c>
      <c r="C231" s="5" t="s">
        <v>1782</v>
      </c>
      <c r="D231" s="3" t="s">
        <v>1783</v>
      </c>
      <c r="E231" s="3" t="s">
        <v>970</v>
      </c>
      <c r="F231" s="3" t="s">
        <v>1784</v>
      </c>
    </row>
    <row r="232" spans="1:6" ht="15.75" customHeight="1" x14ac:dyDescent="0.35">
      <c r="A232" s="3">
        <v>231</v>
      </c>
      <c r="B232" s="3">
        <v>68</v>
      </c>
      <c r="C232" s="5" t="s">
        <v>1785</v>
      </c>
      <c r="D232" s="3" t="s">
        <v>1786</v>
      </c>
      <c r="E232" s="3" t="s">
        <v>922</v>
      </c>
      <c r="F232" s="3" t="s">
        <v>1787</v>
      </c>
    </row>
    <row r="233" spans="1:6" ht="15.75" customHeight="1" x14ac:dyDescent="0.35">
      <c r="A233" s="3">
        <v>232</v>
      </c>
      <c r="B233" s="3">
        <v>68</v>
      </c>
      <c r="C233" s="5" t="s">
        <v>1788</v>
      </c>
      <c r="D233" s="3" t="s">
        <v>1789</v>
      </c>
      <c r="E233" s="3" t="s">
        <v>922</v>
      </c>
      <c r="F233" s="3" t="s">
        <v>1790</v>
      </c>
    </row>
    <row r="234" spans="1:6" ht="15.75" customHeight="1" x14ac:dyDescent="0.35">
      <c r="A234" s="3">
        <v>233</v>
      </c>
      <c r="B234" s="3">
        <v>69</v>
      </c>
      <c r="C234" s="5" t="s">
        <v>1791</v>
      </c>
      <c r="D234" s="3" t="s">
        <v>1792</v>
      </c>
      <c r="E234" s="3" t="s">
        <v>974</v>
      </c>
      <c r="F234" s="3" t="s">
        <v>1793</v>
      </c>
    </row>
    <row r="235" spans="1:6" ht="15.75" customHeight="1" x14ac:dyDescent="0.35">
      <c r="A235" s="3">
        <v>234</v>
      </c>
      <c r="B235" s="3">
        <v>69</v>
      </c>
      <c r="C235" s="5" t="s">
        <v>1794</v>
      </c>
      <c r="D235" s="3" t="s">
        <v>1795</v>
      </c>
      <c r="E235" s="3" t="s">
        <v>918</v>
      </c>
      <c r="F235" s="3" t="s">
        <v>1796</v>
      </c>
    </row>
    <row r="236" spans="1:6" ht="15.75" customHeight="1" x14ac:dyDescent="0.35">
      <c r="A236" s="3">
        <v>235</v>
      </c>
      <c r="B236" s="3">
        <v>69</v>
      </c>
      <c r="C236" s="5" t="s">
        <v>1797</v>
      </c>
      <c r="D236" s="3" t="s">
        <v>1798</v>
      </c>
      <c r="E236" s="3" t="s">
        <v>922</v>
      </c>
      <c r="F236" s="3" t="s">
        <v>1799</v>
      </c>
    </row>
    <row r="237" spans="1:6" ht="15.75" customHeight="1" x14ac:dyDescent="0.35">
      <c r="A237" s="3">
        <v>236</v>
      </c>
      <c r="B237" s="3">
        <v>69</v>
      </c>
      <c r="C237" s="5" t="s">
        <v>1800</v>
      </c>
      <c r="D237" s="3" t="s">
        <v>1801</v>
      </c>
      <c r="E237" s="3" t="s">
        <v>922</v>
      </c>
      <c r="F237" s="3" t="s">
        <v>1802</v>
      </c>
    </row>
    <row r="238" spans="1:6" ht="15.75" customHeight="1" x14ac:dyDescent="0.35">
      <c r="A238" s="3">
        <v>237</v>
      </c>
      <c r="B238" s="3">
        <v>69</v>
      </c>
      <c r="C238" s="5" t="s">
        <v>1803</v>
      </c>
      <c r="D238" s="3" t="s">
        <v>1804</v>
      </c>
      <c r="E238" s="3" t="s">
        <v>918</v>
      </c>
      <c r="F238" s="3" t="s">
        <v>1805</v>
      </c>
    </row>
    <row r="239" spans="1:6" ht="15.75" customHeight="1" x14ac:dyDescent="0.35">
      <c r="A239" s="3">
        <v>238</v>
      </c>
      <c r="B239" s="3">
        <v>69</v>
      </c>
      <c r="C239" s="5" t="s">
        <v>1806</v>
      </c>
      <c r="D239" s="3" t="s">
        <v>1807</v>
      </c>
      <c r="E239" s="3" t="s">
        <v>922</v>
      </c>
      <c r="F239" s="3" t="s">
        <v>1808</v>
      </c>
    </row>
    <row r="240" spans="1:6" ht="15.75" customHeight="1" x14ac:dyDescent="0.35">
      <c r="A240" s="3">
        <v>239</v>
      </c>
      <c r="B240" s="3">
        <v>69</v>
      </c>
      <c r="C240" s="5" t="s">
        <v>1809</v>
      </c>
      <c r="D240" s="3" t="s">
        <v>1810</v>
      </c>
      <c r="E240" s="3" t="s">
        <v>922</v>
      </c>
      <c r="F240" s="3" t="s">
        <v>1811</v>
      </c>
    </row>
    <row r="241" spans="1:6" ht="15.75" customHeight="1" x14ac:dyDescent="0.35">
      <c r="A241" s="3">
        <v>240</v>
      </c>
      <c r="B241" s="3">
        <v>69</v>
      </c>
      <c r="C241" s="5" t="s">
        <v>1812</v>
      </c>
      <c r="D241" s="3" t="s">
        <v>1813</v>
      </c>
      <c r="E241" s="3" t="s">
        <v>922</v>
      </c>
      <c r="F241" s="3" t="s">
        <v>1814</v>
      </c>
    </row>
    <row r="242" spans="1:6" ht="15.75" customHeight="1" x14ac:dyDescent="0.3"/>
    <row r="243" spans="1:6" ht="15.75" customHeight="1" x14ac:dyDescent="0.3">
      <c r="A243" s="14" t="s">
        <v>1815</v>
      </c>
    </row>
    <row r="244" spans="1:6" ht="15.75" customHeight="1" x14ac:dyDescent="0.3"/>
    <row r="245" spans="1:6" ht="15.75" customHeight="1" x14ac:dyDescent="0.3"/>
    <row r="246" spans="1:6" ht="15.75" customHeight="1" x14ac:dyDescent="0.3"/>
    <row r="247" spans="1:6" ht="15.75" customHeight="1" x14ac:dyDescent="0.3"/>
    <row r="248" spans="1:6" ht="15.75" customHeight="1" x14ac:dyDescent="0.3"/>
    <row r="249" spans="1:6" ht="15.75" customHeight="1" x14ac:dyDescent="0.3"/>
    <row r="250" spans="1:6" ht="15.75" customHeight="1" x14ac:dyDescent="0.3"/>
    <row r="251" spans="1:6" ht="15.75" customHeight="1" x14ac:dyDescent="0.3"/>
    <row r="252" spans="1:6" ht="15.75" customHeight="1" x14ac:dyDescent="0.3"/>
    <row r="253" spans="1:6" ht="15.75" customHeight="1" x14ac:dyDescent="0.3"/>
    <row r="254" spans="1:6" ht="15.75" customHeight="1" x14ac:dyDescent="0.3"/>
    <row r="255" spans="1:6" ht="15.75" customHeight="1" x14ac:dyDescent="0.3"/>
    <row r="256" spans="1: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4.44140625" defaultRowHeight="15" customHeight="1" x14ac:dyDescent="0.3"/>
  <cols>
    <col min="1" max="1" width="6" customWidth="1"/>
    <col min="2" max="2" width="30" customWidth="1"/>
    <col min="3" max="3" width="20" customWidth="1"/>
    <col min="4" max="4" width="10" customWidth="1"/>
    <col min="5" max="5" width="16" customWidth="1"/>
    <col min="6" max="6" width="70" customWidth="1"/>
    <col min="7" max="26" width="8.6640625" customWidth="1"/>
  </cols>
  <sheetData>
    <row r="1" spans="1:6" ht="41.4" x14ac:dyDescent="0.3">
      <c r="A1" s="1" t="s">
        <v>450</v>
      </c>
      <c r="B1" s="1" t="s">
        <v>1816</v>
      </c>
      <c r="C1" s="20" t="s">
        <v>1817</v>
      </c>
      <c r="D1" s="1" t="s">
        <v>1818</v>
      </c>
      <c r="E1" s="1" t="s">
        <v>1819</v>
      </c>
      <c r="F1" s="1" t="s">
        <v>1820</v>
      </c>
    </row>
    <row r="2" spans="1:6" ht="52.8" x14ac:dyDescent="0.3">
      <c r="A2" s="21">
        <v>1</v>
      </c>
      <c r="B2" s="21" t="s">
        <v>1821</v>
      </c>
      <c r="C2" s="22" t="s">
        <v>1822</v>
      </c>
      <c r="D2" s="21">
        <v>3</v>
      </c>
      <c r="E2" s="21" t="s">
        <v>1823</v>
      </c>
      <c r="F2" s="22" t="s">
        <v>1824</v>
      </c>
    </row>
    <row r="3" spans="1:6" ht="39.6" x14ac:dyDescent="0.3">
      <c r="A3" s="21">
        <v>2</v>
      </c>
      <c r="B3" s="21" t="s">
        <v>1825</v>
      </c>
      <c r="C3" s="22" t="s">
        <v>1826</v>
      </c>
      <c r="D3" s="21">
        <v>3</v>
      </c>
      <c r="E3" s="21" t="s">
        <v>1827</v>
      </c>
      <c r="F3" s="22" t="s">
        <v>1828</v>
      </c>
    </row>
    <row r="4" spans="1:6" ht="39.6" x14ac:dyDescent="0.3">
      <c r="A4" s="21">
        <v>3</v>
      </c>
      <c r="B4" s="21" t="s">
        <v>1829</v>
      </c>
      <c r="C4" s="22" t="s">
        <v>1830</v>
      </c>
      <c r="D4" s="21">
        <v>3</v>
      </c>
      <c r="E4" s="21" t="s">
        <v>1831</v>
      </c>
      <c r="F4" s="22" t="s">
        <v>1832</v>
      </c>
    </row>
    <row r="5" spans="1:6" ht="39.6" x14ac:dyDescent="0.3">
      <c r="A5" s="21">
        <v>4</v>
      </c>
      <c r="B5" s="21" t="s">
        <v>1833</v>
      </c>
      <c r="C5" s="22" t="s">
        <v>1834</v>
      </c>
      <c r="D5" s="21">
        <v>3</v>
      </c>
      <c r="E5" s="21" t="s">
        <v>1835</v>
      </c>
      <c r="F5" s="22" t="s">
        <v>1836</v>
      </c>
    </row>
    <row r="6" spans="1:6" ht="39.6" x14ac:dyDescent="0.3">
      <c r="A6" s="21">
        <v>5</v>
      </c>
      <c r="B6" s="21" t="s">
        <v>1837</v>
      </c>
      <c r="C6" s="22" t="s">
        <v>1838</v>
      </c>
      <c r="D6" s="21">
        <v>3</v>
      </c>
      <c r="E6" s="21" t="s">
        <v>1839</v>
      </c>
      <c r="F6" s="22" t="s">
        <v>1840</v>
      </c>
    </row>
    <row r="7" spans="1:6" ht="52.8" x14ac:dyDescent="0.3">
      <c r="A7" s="21">
        <v>6</v>
      </c>
      <c r="B7" s="21" t="s">
        <v>1841</v>
      </c>
      <c r="C7" s="22" t="s">
        <v>1842</v>
      </c>
      <c r="D7" s="21">
        <v>3</v>
      </c>
      <c r="E7" s="21" t="s">
        <v>1843</v>
      </c>
      <c r="F7" s="22" t="s">
        <v>1844</v>
      </c>
    </row>
    <row r="8" spans="1:6" ht="39.6" x14ac:dyDescent="0.3">
      <c r="A8" s="21">
        <v>7</v>
      </c>
      <c r="B8" s="21" t="s">
        <v>1845</v>
      </c>
      <c r="C8" s="22" t="s">
        <v>1846</v>
      </c>
      <c r="D8" s="21">
        <v>3</v>
      </c>
      <c r="E8" s="21" t="s">
        <v>1847</v>
      </c>
      <c r="F8" s="22" t="s">
        <v>1848</v>
      </c>
    </row>
    <row r="9" spans="1:6" ht="39.6" x14ac:dyDescent="0.3">
      <c r="A9" s="21">
        <v>8</v>
      </c>
      <c r="B9" s="21" t="s">
        <v>1849</v>
      </c>
      <c r="C9" s="22" t="s">
        <v>1850</v>
      </c>
      <c r="D9" s="21">
        <v>2</v>
      </c>
      <c r="E9" s="21" t="s">
        <v>1851</v>
      </c>
      <c r="F9" s="22" t="s">
        <v>1852</v>
      </c>
    </row>
    <row r="10" spans="1:6" ht="39.6" x14ac:dyDescent="0.3">
      <c r="A10" s="21">
        <v>9</v>
      </c>
      <c r="B10" s="21" t="s">
        <v>1853</v>
      </c>
      <c r="C10" s="22" t="s">
        <v>1854</v>
      </c>
      <c r="D10" s="21">
        <v>2</v>
      </c>
      <c r="E10" s="21" t="s">
        <v>1855</v>
      </c>
      <c r="F10" s="22" t="s">
        <v>1856</v>
      </c>
    </row>
    <row r="11" spans="1:6" ht="39.6" x14ac:dyDescent="0.3">
      <c r="A11" s="21">
        <v>10</v>
      </c>
      <c r="B11" s="21" t="s">
        <v>1857</v>
      </c>
      <c r="C11" s="22" t="s">
        <v>1858</v>
      </c>
      <c r="D11" s="21">
        <v>2</v>
      </c>
      <c r="E11" s="21" t="s">
        <v>1859</v>
      </c>
      <c r="F11" s="22" t="s">
        <v>1860</v>
      </c>
    </row>
    <row r="12" spans="1:6" ht="39.6" x14ac:dyDescent="0.3">
      <c r="A12" s="21">
        <v>11</v>
      </c>
      <c r="B12" s="21" t="s">
        <v>1861</v>
      </c>
      <c r="C12" s="22" t="s">
        <v>1862</v>
      </c>
      <c r="D12" s="21">
        <v>2</v>
      </c>
      <c r="E12" s="21" t="s">
        <v>1863</v>
      </c>
      <c r="F12" s="22" t="s">
        <v>1864</v>
      </c>
    </row>
    <row r="13" spans="1:6" ht="39.6" x14ac:dyDescent="0.3">
      <c r="A13" s="21">
        <v>12</v>
      </c>
      <c r="B13" s="21" t="s">
        <v>1865</v>
      </c>
      <c r="C13" s="22" t="s">
        <v>1866</v>
      </c>
      <c r="D13" s="21">
        <v>2</v>
      </c>
      <c r="E13" s="21" t="s">
        <v>1867</v>
      </c>
      <c r="F13" s="22" t="s">
        <v>1868</v>
      </c>
    </row>
    <row r="14" spans="1:6" ht="52.8" x14ac:dyDescent="0.3">
      <c r="A14" s="21">
        <v>13</v>
      </c>
      <c r="B14" s="21" t="s">
        <v>1869</v>
      </c>
      <c r="C14" s="22" t="s">
        <v>1870</v>
      </c>
      <c r="D14" s="21">
        <v>2</v>
      </c>
      <c r="E14" s="21" t="s">
        <v>1871</v>
      </c>
      <c r="F14" s="22" t="s">
        <v>1872</v>
      </c>
    </row>
    <row r="15" spans="1:6" ht="39.6" x14ac:dyDescent="0.3">
      <c r="A15" s="21">
        <v>14</v>
      </c>
      <c r="B15" s="21" t="s">
        <v>1873</v>
      </c>
      <c r="C15" s="22" t="s">
        <v>1874</v>
      </c>
      <c r="D15" s="21">
        <v>2</v>
      </c>
      <c r="E15" s="21" t="s">
        <v>1875</v>
      </c>
      <c r="F15" s="22" t="s">
        <v>1876</v>
      </c>
    </row>
    <row r="16" spans="1:6" ht="39.6" x14ac:dyDescent="0.3">
      <c r="A16" s="21">
        <v>15</v>
      </c>
      <c r="B16" s="21" t="s">
        <v>1877</v>
      </c>
      <c r="C16" s="22" t="s">
        <v>1878</v>
      </c>
      <c r="D16" s="21">
        <v>2</v>
      </c>
      <c r="E16" s="21" t="s">
        <v>1879</v>
      </c>
      <c r="F16" s="22" t="s">
        <v>1880</v>
      </c>
    </row>
    <row r="17" spans="1:6" ht="52.8" x14ac:dyDescent="0.3">
      <c r="A17" s="21">
        <v>16</v>
      </c>
      <c r="B17" s="21" t="s">
        <v>1881</v>
      </c>
      <c r="C17" s="22" t="s">
        <v>1882</v>
      </c>
      <c r="D17" s="21">
        <v>2</v>
      </c>
      <c r="E17" s="21" t="s">
        <v>1883</v>
      </c>
      <c r="F17" s="22" t="s">
        <v>1884</v>
      </c>
    </row>
    <row r="18" spans="1:6" ht="39.6" x14ac:dyDescent="0.3">
      <c r="A18" s="21">
        <v>17</v>
      </c>
      <c r="B18" s="21" t="s">
        <v>1885</v>
      </c>
      <c r="C18" s="22" t="s">
        <v>1886</v>
      </c>
      <c r="D18" s="21">
        <v>2</v>
      </c>
      <c r="E18" s="21" t="s">
        <v>1887</v>
      </c>
      <c r="F18" s="22" t="s">
        <v>1888</v>
      </c>
    </row>
    <row r="19" spans="1:6" ht="52.8" x14ac:dyDescent="0.3">
      <c r="A19" s="21">
        <v>18</v>
      </c>
      <c r="B19" s="21" t="s">
        <v>1889</v>
      </c>
      <c r="C19" s="22" t="s">
        <v>1890</v>
      </c>
      <c r="D19" s="21">
        <v>2</v>
      </c>
      <c r="E19" s="21" t="s">
        <v>1891</v>
      </c>
      <c r="F19" s="22" t="s">
        <v>1892</v>
      </c>
    </row>
    <row r="21" spans="1:6" ht="15.75" customHeight="1" x14ac:dyDescent="0.3">
      <c r="A21" s="41" t="s">
        <v>1893</v>
      </c>
      <c r="B21" s="39"/>
      <c r="C21" s="39"/>
      <c r="D21" s="39"/>
      <c r="E21" s="39"/>
      <c r="F21" s="39"/>
    </row>
    <row r="22" spans="1:6" ht="15.75" customHeight="1" x14ac:dyDescent="0.3"/>
    <row r="23" spans="1:6" ht="15.75" customHeight="1" x14ac:dyDescent="0.3"/>
    <row r="24" spans="1:6" ht="15.75" customHeight="1" x14ac:dyDescent="0.3"/>
    <row r="25" spans="1:6" ht="15.75" customHeight="1" x14ac:dyDescent="0.3"/>
    <row r="26" spans="1:6" ht="15.75" customHeight="1" x14ac:dyDescent="0.3"/>
    <row r="27" spans="1:6" ht="15.75" customHeight="1" x14ac:dyDescent="0.3"/>
    <row r="28" spans="1:6" ht="15.75" customHeight="1" x14ac:dyDescent="0.3"/>
    <row r="29" spans="1:6" ht="15.75" customHeight="1" x14ac:dyDescent="0.3"/>
    <row r="30" spans="1:6" ht="15.75" customHeight="1" x14ac:dyDescent="0.3"/>
    <row r="31" spans="1:6" ht="15.75" customHeight="1" x14ac:dyDescent="0.3"/>
    <row r="32" spans="1:6"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21:F21"/>
  </mergeCells>
  <pageMargins left="0.75" right="0.75" top="1" bottom="1"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1000"/>
  <sheetViews>
    <sheetView workbookViewId="0"/>
  </sheetViews>
  <sheetFormatPr defaultColWidth="14.44140625" defaultRowHeight="15" customHeight="1" x14ac:dyDescent="0.3"/>
  <cols>
    <col min="1" max="1" width="26" customWidth="1"/>
    <col min="2" max="2" width="40" customWidth="1"/>
    <col min="3" max="3" width="50" customWidth="1"/>
    <col min="4" max="26" width="8.6640625" customWidth="1"/>
  </cols>
  <sheetData>
    <row r="1" spans="1:3" ht="16.8" x14ac:dyDescent="0.3">
      <c r="A1" s="40" t="s">
        <v>1894</v>
      </c>
      <c r="B1" s="39"/>
      <c r="C1" s="39"/>
    </row>
    <row r="3" spans="1:3" ht="14.4" x14ac:dyDescent="0.3">
      <c r="A3" s="1" t="s">
        <v>1895</v>
      </c>
      <c r="B3" s="1" t="s">
        <v>1896</v>
      </c>
      <c r="C3" s="1" t="s">
        <v>1897</v>
      </c>
    </row>
    <row r="4" spans="1:3" ht="27.6" x14ac:dyDescent="0.3">
      <c r="A4" s="23" t="s">
        <v>1898</v>
      </c>
      <c r="B4" s="24" t="s">
        <v>1899</v>
      </c>
      <c r="C4" s="24" t="s">
        <v>1900</v>
      </c>
    </row>
    <row r="5" spans="1:3" ht="27.6" x14ac:dyDescent="0.3">
      <c r="A5" s="23" t="s">
        <v>1901</v>
      </c>
      <c r="B5" s="24" t="s">
        <v>1902</v>
      </c>
      <c r="C5" s="24" t="s">
        <v>1903</v>
      </c>
    </row>
    <row r="6" spans="1:3" ht="27.6" x14ac:dyDescent="0.3">
      <c r="A6" s="23" t="s">
        <v>1904</v>
      </c>
      <c r="B6" s="24" t="s">
        <v>1905</v>
      </c>
      <c r="C6" s="24" t="s">
        <v>1906</v>
      </c>
    </row>
    <row r="7" spans="1:3" ht="27.6" x14ac:dyDescent="0.3">
      <c r="A7" s="23" t="s">
        <v>1907</v>
      </c>
      <c r="B7" s="24" t="s">
        <v>1908</v>
      </c>
      <c r="C7" s="24" t="s">
        <v>1909</v>
      </c>
    </row>
    <row r="8" spans="1:3" ht="27.6" x14ac:dyDescent="0.3">
      <c r="A8" s="23" t="s">
        <v>1910</v>
      </c>
      <c r="B8" s="24" t="s">
        <v>1911</v>
      </c>
      <c r="C8" s="24" t="s">
        <v>1912</v>
      </c>
    </row>
    <row r="9" spans="1:3" ht="31.2" x14ac:dyDescent="0.3">
      <c r="A9" s="23" t="s">
        <v>1913</v>
      </c>
      <c r="B9" s="24" t="s">
        <v>1914</v>
      </c>
      <c r="C9" s="25" t="s">
        <v>1915</v>
      </c>
    </row>
    <row r="10" spans="1:3" ht="27.6" x14ac:dyDescent="0.3">
      <c r="A10" s="23" t="s">
        <v>1916</v>
      </c>
      <c r="B10" s="24" t="s">
        <v>1917</v>
      </c>
      <c r="C10" s="24" t="s">
        <v>1918</v>
      </c>
    </row>
    <row r="11" spans="1:3" ht="27.6" x14ac:dyDescent="0.3">
      <c r="A11" s="23" t="s">
        <v>1919</v>
      </c>
      <c r="B11" s="24" t="s">
        <v>1920</v>
      </c>
      <c r="C11" s="24" t="s">
        <v>1921</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C1"/>
  </mergeCells>
  <pageMargins left="0.75" right="0.75" top="1" bottom="1"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000"/>
  <sheetViews>
    <sheetView workbookViewId="0"/>
  </sheetViews>
  <sheetFormatPr defaultColWidth="14.44140625" defaultRowHeight="15" customHeight="1" x14ac:dyDescent="0.3"/>
  <cols>
    <col min="1" max="1" width="10" customWidth="1"/>
    <col min="2" max="2" width="24" customWidth="1"/>
    <col min="3" max="3" width="60" customWidth="1"/>
    <col min="4" max="4" width="30" customWidth="1"/>
    <col min="5" max="26" width="8.6640625" customWidth="1"/>
  </cols>
  <sheetData>
    <row r="1" spans="1:4" ht="16.8" x14ac:dyDescent="0.3">
      <c r="A1" s="40" t="s">
        <v>1922</v>
      </c>
      <c r="B1" s="39"/>
      <c r="C1" s="39"/>
      <c r="D1" s="39"/>
    </row>
    <row r="3" spans="1:4" ht="14.4" x14ac:dyDescent="0.3">
      <c r="A3" s="1" t="s">
        <v>430</v>
      </c>
      <c r="B3" s="1" t="s">
        <v>1923</v>
      </c>
      <c r="C3" s="1" t="s">
        <v>1924</v>
      </c>
      <c r="D3" s="1" t="s">
        <v>1925</v>
      </c>
    </row>
    <row r="4" spans="1:4" ht="27.6" x14ac:dyDescent="0.3">
      <c r="A4" s="23" t="s">
        <v>1926</v>
      </c>
      <c r="B4" s="24" t="s">
        <v>1927</v>
      </c>
      <c r="C4" s="29" t="s">
        <v>1928</v>
      </c>
      <c r="D4" s="24" t="s">
        <v>1929</v>
      </c>
    </row>
    <row r="5" spans="1:4" ht="27.6" x14ac:dyDescent="0.3">
      <c r="A5" s="23" t="s">
        <v>1930</v>
      </c>
      <c r="B5" s="24" t="s">
        <v>1931</v>
      </c>
      <c r="C5" s="29" t="s">
        <v>1932</v>
      </c>
      <c r="D5" s="24" t="s">
        <v>1933</v>
      </c>
    </row>
    <row r="6" spans="1:4" ht="27.6" x14ac:dyDescent="0.3">
      <c r="A6" s="23" t="s">
        <v>1934</v>
      </c>
      <c r="B6" s="24" t="s">
        <v>1935</v>
      </c>
      <c r="C6" s="30" t="s">
        <v>1936</v>
      </c>
      <c r="D6" s="24" t="s">
        <v>1937</v>
      </c>
    </row>
    <row r="9" spans="1:4" ht="14.4" x14ac:dyDescent="0.3">
      <c r="A9" s="42" t="s">
        <v>1938</v>
      </c>
      <c r="B9" s="39"/>
      <c r="C9" s="39"/>
      <c r="D9" s="39"/>
    </row>
    <row r="10" spans="1:4" ht="14.4" x14ac:dyDescent="0.3">
      <c r="A10" s="43" t="s">
        <v>1939</v>
      </c>
      <c r="B10" s="39"/>
      <c r="C10" s="39"/>
      <c r="D10" s="3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3">
    <mergeCell ref="A1:D1"/>
    <mergeCell ref="A9:D9"/>
    <mergeCell ref="A10:D10"/>
  </mergeCells>
  <hyperlinks>
    <hyperlink ref="C4" r:id="rId1" xr:uid="{00000000-0004-0000-0600-000000000000}"/>
    <hyperlink ref="C5" r:id="rId2" xr:uid="{00000000-0004-0000-0600-000001000000}"/>
    <hyperlink ref="C6" r:id="rId3" xr:uid="{00000000-0004-0000-0600-000002000000}"/>
  </hyperlinks>
  <pageMargins left="0.75" right="0.75" top="1" bottom="1"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C9473F"/>
  </sheetPr>
  <dimension ref="A1:E22"/>
  <sheetViews>
    <sheetView workbookViewId="0">
      <pane ySplit="4" topLeftCell="A5" activePane="bottomLeft" state="frozen"/>
      <selection pane="bottomLeft"/>
    </sheetView>
  </sheetViews>
  <sheetFormatPr defaultRowHeight="14.4" x14ac:dyDescent="0.3"/>
  <cols>
    <col min="1" max="1" width="22" customWidth="1"/>
    <col min="2" max="2" width="25" customWidth="1"/>
    <col min="3" max="3" width="68" customWidth="1"/>
    <col min="4" max="4" width="17" customWidth="1"/>
    <col min="5" max="5" width="14" customWidth="1"/>
  </cols>
  <sheetData>
    <row r="1" spans="1:5" ht="31.95" customHeight="1" x14ac:dyDescent="0.3">
      <c r="A1" s="45" t="s">
        <v>1940</v>
      </c>
      <c r="B1" s="39"/>
      <c r="C1" s="39"/>
      <c r="D1" s="39"/>
      <c r="E1" s="39"/>
    </row>
    <row r="2" spans="1:5" ht="46.05" customHeight="1" x14ac:dyDescent="0.3">
      <c r="A2" s="44" t="s">
        <v>1941</v>
      </c>
      <c r="B2" s="39"/>
      <c r="C2" s="39"/>
      <c r="D2" s="39"/>
      <c r="E2" s="39"/>
    </row>
    <row r="4" spans="1:5" x14ac:dyDescent="0.3">
      <c r="A4" s="34" t="s">
        <v>1942</v>
      </c>
      <c r="B4" s="34" t="s">
        <v>1943</v>
      </c>
      <c r="C4" s="34" t="s">
        <v>1944</v>
      </c>
      <c r="D4" s="34" t="s">
        <v>1945</v>
      </c>
      <c r="E4" s="34" t="s">
        <v>1946</v>
      </c>
    </row>
    <row r="5" spans="1:5" ht="43.95" customHeight="1" x14ac:dyDescent="0.3">
      <c r="A5" s="35" t="s">
        <v>1947</v>
      </c>
      <c r="B5" s="35" t="s">
        <v>35</v>
      </c>
      <c r="C5" s="36" t="s">
        <v>1948</v>
      </c>
      <c r="D5" s="36" t="s">
        <v>1949</v>
      </c>
      <c r="E5" s="36" t="s">
        <v>38</v>
      </c>
    </row>
    <row r="6" spans="1:5" ht="43.95" customHeight="1" x14ac:dyDescent="0.3">
      <c r="A6" s="35" t="s">
        <v>1950</v>
      </c>
      <c r="B6" s="35" t="s">
        <v>1951</v>
      </c>
      <c r="C6" s="36" t="s">
        <v>1952</v>
      </c>
      <c r="D6" s="36" t="s">
        <v>1949</v>
      </c>
      <c r="E6" s="36" t="s">
        <v>38</v>
      </c>
    </row>
    <row r="7" spans="1:5" ht="43.95" customHeight="1" x14ac:dyDescent="0.3">
      <c r="A7" s="35" t="s">
        <v>1953</v>
      </c>
      <c r="B7" s="35" t="s">
        <v>1954</v>
      </c>
      <c r="C7" s="36" t="s">
        <v>1955</v>
      </c>
      <c r="D7" s="36" t="s">
        <v>1949</v>
      </c>
      <c r="E7" s="36" t="s">
        <v>38</v>
      </c>
    </row>
    <row r="8" spans="1:5" ht="43.95" customHeight="1" x14ac:dyDescent="0.3">
      <c r="A8" s="35" t="s">
        <v>1956</v>
      </c>
      <c r="B8" s="35" t="s">
        <v>1957</v>
      </c>
      <c r="C8" s="36" t="s">
        <v>1958</v>
      </c>
      <c r="D8" s="36" t="s">
        <v>1949</v>
      </c>
      <c r="E8" s="36" t="s">
        <v>38</v>
      </c>
    </row>
    <row r="9" spans="1:5" ht="43.95" customHeight="1" x14ac:dyDescent="0.3">
      <c r="A9" s="35" t="s">
        <v>1959</v>
      </c>
      <c r="B9" s="35" t="s">
        <v>1960</v>
      </c>
      <c r="C9" s="36" t="s">
        <v>1961</v>
      </c>
      <c r="D9" s="36" t="s">
        <v>1949</v>
      </c>
      <c r="E9" s="36" t="s">
        <v>38</v>
      </c>
    </row>
    <row r="10" spans="1:5" ht="43.95" customHeight="1" x14ac:dyDescent="0.3">
      <c r="A10" s="35" t="s">
        <v>1962</v>
      </c>
      <c r="B10" s="35" t="s">
        <v>100</v>
      </c>
      <c r="C10" s="36" t="s">
        <v>1963</v>
      </c>
      <c r="D10" s="36" t="s">
        <v>1949</v>
      </c>
      <c r="E10" s="36" t="s">
        <v>38</v>
      </c>
    </row>
    <row r="11" spans="1:5" ht="43.95" customHeight="1" x14ac:dyDescent="0.3">
      <c r="A11" s="35" t="s">
        <v>1964</v>
      </c>
      <c r="B11" s="35" t="s">
        <v>1965</v>
      </c>
      <c r="C11" s="36" t="s">
        <v>1966</v>
      </c>
      <c r="D11" s="36" t="s">
        <v>1949</v>
      </c>
      <c r="E11" s="36" t="s">
        <v>38</v>
      </c>
    </row>
    <row r="12" spans="1:5" ht="43.95" customHeight="1" x14ac:dyDescent="0.3">
      <c r="A12" s="35" t="s">
        <v>1967</v>
      </c>
      <c r="B12" s="35" t="s">
        <v>1968</v>
      </c>
      <c r="C12" s="36" t="s">
        <v>1969</v>
      </c>
      <c r="D12" s="36" t="s">
        <v>1949</v>
      </c>
      <c r="E12" s="36" t="s">
        <v>38</v>
      </c>
    </row>
    <row r="13" spans="1:5" ht="43.95" customHeight="1" x14ac:dyDescent="0.3">
      <c r="A13" s="35" t="s">
        <v>1970</v>
      </c>
      <c r="B13" s="35" t="s">
        <v>1971</v>
      </c>
      <c r="C13" s="36" t="s">
        <v>1972</v>
      </c>
      <c r="D13" s="36" t="s">
        <v>1949</v>
      </c>
      <c r="E13" s="36" t="s">
        <v>38</v>
      </c>
    </row>
    <row r="14" spans="1:5" ht="43.95" customHeight="1" x14ac:dyDescent="0.3">
      <c r="A14" s="35" t="s">
        <v>1973</v>
      </c>
      <c r="B14" s="35" t="s">
        <v>115</v>
      </c>
      <c r="C14" s="36" t="s">
        <v>1974</v>
      </c>
      <c r="D14" s="36" t="s">
        <v>1949</v>
      </c>
      <c r="E14" s="36" t="s">
        <v>38</v>
      </c>
    </row>
    <row r="15" spans="1:5" ht="43.95" customHeight="1" x14ac:dyDescent="0.3">
      <c r="A15" s="35" t="s">
        <v>1975</v>
      </c>
      <c r="B15" s="35" t="s">
        <v>1976</v>
      </c>
      <c r="C15" s="36" t="s">
        <v>1977</v>
      </c>
      <c r="D15" s="36" t="s">
        <v>1949</v>
      </c>
      <c r="E15" s="36" t="s">
        <v>38</v>
      </c>
    </row>
    <row r="16" spans="1:5" ht="43.95" customHeight="1" x14ac:dyDescent="0.3">
      <c r="A16" s="35" t="s">
        <v>1978</v>
      </c>
      <c r="B16" s="35" t="s">
        <v>1979</v>
      </c>
      <c r="C16" s="36" t="s">
        <v>1980</v>
      </c>
      <c r="D16" s="36" t="s">
        <v>1949</v>
      </c>
      <c r="E16" s="36" t="s">
        <v>38</v>
      </c>
    </row>
    <row r="17" spans="1:5" ht="43.95" customHeight="1" x14ac:dyDescent="0.3">
      <c r="A17" s="35" t="s">
        <v>1981</v>
      </c>
      <c r="B17" s="35" t="s">
        <v>1982</v>
      </c>
      <c r="C17" s="36" t="s">
        <v>1983</v>
      </c>
      <c r="D17" s="36" t="s">
        <v>1949</v>
      </c>
      <c r="E17" s="36" t="s">
        <v>38</v>
      </c>
    </row>
    <row r="18" spans="1:5" ht="43.95" customHeight="1" x14ac:dyDescent="0.3">
      <c r="A18" s="35" t="s">
        <v>1984</v>
      </c>
      <c r="B18" s="35" t="s">
        <v>72</v>
      </c>
      <c r="C18" s="36" t="s">
        <v>1985</v>
      </c>
      <c r="D18" s="36" t="s">
        <v>1986</v>
      </c>
      <c r="E18" s="36" t="s">
        <v>75</v>
      </c>
    </row>
    <row r="19" spans="1:5" ht="43.95" customHeight="1" x14ac:dyDescent="0.3">
      <c r="A19" s="35" t="s">
        <v>1987</v>
      </c>
      <c r="B19" s="35" t="s">
        <v>1988</v>
      </c>
      <c r="C19" s="36" t="s">
        <v>1989</v>
      </c>
      <c r="D19" s="36" t="s">
        <v>1986</v>
      </c>
      <c r="E19" s="36" t="s">
        <v>75</v>
      </c>
    </row>
    <row r="20" spans="1:5" ht="43.95" customHeight="1" x14ac:dyDescent="0.3">
      <c r="A20" s="35" t="s">
        <v>1990</v>
      </c>
      <c r="B20" s="35" t="s">
        <v>1991</v>
      </c>
      <c r="C20" s="36" t="s">
        <v>1992</v>
      </c>
      <c r="D20" s="36" t="s">
        <v>1986</v>
      </c>
      <c r="E20" s="36" t="s">
        <v>75</v>
      </c>
    </row>
    <row r="21" spans="1:5" ht="43.95" customHeight="1" x14ac:dyDescent="0.3">
      <c r="A21" s="35" t="s">
        <v>1993</v>
      </c>
      <c r="B21" s="35" t="s">
        <v>1994</v>
      </c>
      <c r="C21" s="36" t="s">
        <v>1995</v>
      </c>
      <c r="D21" s="36" t="s">
        <v>1986</v>
      </c>
      <c r="E21" s="36" t="s">
        <v>75</v>
      </c>
    </row>
    <row r="22" spans="1:5" ht="43.95" customHeight="1" x14ac:dyDescent="0.3">
      <c r="A22" s="35" t="s">
        <v>1996</v>
      </c>
      <c r="B22" s="35" t="s">
        <v>1997</v>
      </c>
      <c r="C22" s="36" t="s">
        <v>1998</v>
      </c>
      <c r="D22" s="36" t="s">
        <v>1986</v>
      </c>
      <c r="E22" s="36" t="s">
        <v>75</v>
      </c>
    </row>
  </sheetData>
  <autoFilter ref="A4:E22" xr:uid="{00000000-0009-0000-0000-000007000000}"/>
  <mergeCells count="2">
    <mergeCell ref="A2:E2"/>
    <mergeCell ref="A1:E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Ke hoach 120 ngay</vt:lpstr>
      <vt:lpstr>Tổng quan &amp; Khoảng trống</vt:lpstr>
      <vt:lpstr>Từ vựng Bậc 1 (223 từ)</vt:lpstr>
      <vt:lpstr>Từ vựng Bậc 2 (240 từ)</vt:lpstr>
      <vt:lpstr>18 Chủ đề Bậc 3 (thật)</vt:lpstr>
      <vt:lpstr>Lỗi Pinyin thường gặp</vt:lpstr>
      <vt:lpstr>Link tải đầy đủ 2245 từ</vt:lpstr>
      <vt:lpstr>Pinyin Tone Quest HD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Nhân Phạm Thiện</cp:lastModifiedBy>
  <dcterms:created xsi:type="dcterms:W3CDTF">2026-07-31T06:45:10Z</dcterms:created>
  <dcterms:modified xsi:type="dcterms:W3CDTF">2026-08-31T16:34:50Z</dcterms:modified>
</cp:coreProperties>
</file>